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525"/>
  <workbookPr dateCompatibility="0" defaultThemeVersion="202300"/>
  <mc:AlternateContent xmlns:mc="http://schemas.openxmlformats.org/markup-compatibility/2006">
    <mc:Choice Requires="x15">
      <x15ac:absPath xmlns:x15ac="http://schemas.microsoft.com/office/spreadsheetml/2010/11/ac" url="/Users/tj/Downloads/"/>
    </mc:Choice>
  </mc:AlternateContent>
  <xr:revisionPtr revIDLastSave="0" documentId="8_missing-docid_{2103D866-696B-BB4D-99E3-D5DD4692BE36}" xr6:coauthVersionLast="47" xr6:coauthVersionMax="47" xr10:uidLastSave="{00000000-0000-0000-0000-000000000000}"/>
  <bookViews>
    <workbookView xWindow="7520" yWindow="2440" windowWidth="46060" windowHeight="22180" activeTab="1" xr2:uid="{DA319F69-B324-1044-8ECA-EA4E9542798D}"/>
  </bookViews>
  <sheets>
    <sheet name="database" sheetId="1" r:id="rId1"/>
    <sheet name="candidate_take_home" sheetId="2" r:id="rId2"/>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P15" i="1" l="1"/>
  <c r="P25" i="1"/>
  <c r="P43" i="1"/>
  <c r="P103" i="1"/>
  <c r="P256" i="1"/>
  <c r="P348" i="1"/>
  <c r="P352" i="1"/>
  <c r="P378" i="1"/>
  <c r="P445" i="1"/>
  <c r="P559" i="1"/>
  <c r="P631" i="1"/>
  <c r="P715" i="1"/>
  <c r="P864" i="1"/>
  <c r="P904" i="1"/>
  <c r="P979" i="1"/>
</calcChain>
</file>

<file path=xl/sharedStrings.xml><?xml version="1.0" encoding="utf-8"?>
<sst xmlns="http://purl.oclc.org/ooxml/spreadsheetml/main" count="18441" uniqueCount="7777">
  <si>
    <t>guru_permalink</t>
  </si>
  <si>
    <t>crunchbase</t>
  </si>
  <si>
    <t>name</t>
  </si>
  <si>
    <t>operating_status</t>
  </si>
  <si>
    <t>acquired</t>
  </si>
  <si>
    <t>company_type</t>
  </si>
  <si>
    <t>short_description</t>
  </si>
  <si>
    <t>address</t>
  </si>
  <si>
    <t>founded_date</t>
  </si>
  <si>
    <t>ipo_status</t>
  </si>
  <si>
    <t>domain</t>
  </si>
  <si>
    <t>linkedin</t>
  </si>
  <si>
    <t>pitchbook</t>
  </si>
  <si>
    <t>twitter</t>
  </si>
  <si>
    <t>contact_email</t>
  </si>
  <si>
    <t>contact_phone</t>
  </si>
  <si>
    <t>num_employees</t>
  </si>
  <si>
    <t>created_at</t>
  </si>
  <si>
    <t>updated_at</t>
  </si>
  <si>
    <t>earthian</t>
  </si>
  <si>
    <t>sauroneye</t>
  </si>
  <si>
    <t>Earthian</t>
  </si>
  <si>
    <t>active</t>
  </si>
  <si>
    <t>for_profit</t>
  </si>
  <si>
    <t>Earthian is an Amsterdam-based startup building small language models and a "financial inference layer" that estimates dollar values and risk exposure of real-world events for banks, insurers, and asset managers.</t>
  </si>
  <si>
    <t>Amsterdam, Noord-Holland, The Netherlands, Europe</t>
  </si>
  <si>
    <t>null</t>
  </si>
  <si>
    <t>private</t>
  </si>
  <si>
    <t>earthianai.com</t>
  </si>
  <si>
    <t>earthianaii</t>
  </si>
  <si>
    <t>hello@earthianai.com</t>
  </si>
  <si>
    <t>2026-05-22 23:02:33.848526+00</t>
  </si>
  <si>
    <t>2026-05-30 00:10:47.145324+00</t>
  </si>
  <si>
    <t>return-helper</t>
  </si>
  <si>
    <t>Return Helper</t>
  </si>
  <si>
    <t>Return Helper is a tech-first startup that provides global cross-border e-commerce returns solutions, including a SaaS returns management platform, proprietary WMS, and fulfillment services.</t>
  </si>
  <si>
    <t>Hong Kong, Hong Kong Island, Hong Kong, Asia</t>
  </si>
  <si>
    <t>returnhelper.com</t>
  </si>
  <si>
    <t>https://pitchbook.com/profiles/company/483098-50</t>
  </si>
  <si>
    <t>roy@returnhelper.com</t>
  </si>
  <si>
    <t>51-100</t>
  </si>
  <si>
    <t>2025-07-12 22:20:08.233221+00</t>
  </si>
  <si>
    <t>2026-05-30 00:10:41.196853+00</t>
  </si>
  <si>
    <t>omniscient-neurotechnology</t>
  </si>
  <si>
    <t>Omniscient Neurotechnology</t>
  </si>
  <si>
    <t>Omniscient Neurotechnology (o8t) is an AI company that decodes individual brain wiring via connectomics and delivers patient-specific maps through its Quicktome¬Æ platform.</t>
  </si>
  <si>
    <t>Sydney, New South Wales, Australia, Oceania</t>
  </si>
  <si>
    <t>o8t.com</t>
  </si>
  <si>
    <t>omniscientneurotechnology</t>
  </si>
  <si>
    <t>https://pitchbook.com/profiles/company/442798-03</t>
  </si>
  <si>
    <t>https://x.com/o8tneuro</t>
  </si>
  <si>
    <t>contact@o8t.com</t>
  </si>
  <si>
    <t>2026-05-30 00:10:40.948019+00</t>
  </si>
  <si>
    <t>Shenzhen, Guangdong, China, Asia</t>
  </si>
  <si>
    <t>101-250</t>
  </si>
  <si>
    <t>2026-05-29 23:03:45.284011+00</t>
  </si>
  <si>
    <t>Hangzhou, Zhejiang, China, Asia</t>
  </si>
  <si>
    <t>Toronto, Ontario, Canada, North America</t>
  </si>
  <si>
    <t>Seoul, Seoul-t'ukpyolsi, South Korea, Asia</t>
  </si>
  <si>
    <t>rwa-ltd</t>
  </si>
  <si>
    <t>RWA.LTD</t>
  </si>
  <si>
    <t>RWA.LTD is a trading platform and infrastructure provider focused on consumer tokens and the tokenization of real-world consumer rights and interests.</t>
  </si>
  <si>
    <t>rwa.ltd</t>
  </si>
  <si>
    <t>2026-05-30 00:10:39.751925+00</t>
  </si>
  <si>
    <t>waypoint-bio</t>
  </si>
  <si>
    <t>Waypoint Bio</t>
  </si>
  <si>
    <t>Waypoint Bio builds AI models and an in‚Äëhouse spatial pooled in vivo screening platform to design and validate CAR‚ÄëT and in vivo delivery vector cell therapies for solid tumors.</t>
  </si>
  <si>
    <t>New York, New York, United States, North America</t>
  </si>
  <si>
    <t>waypointbio.com</t>
  </si>
  <si>
    <t>https://pitchbook.com/profiles/company/527248-36</t>
  </si>
  <si>
    <t>2026-05-30 00:10:39.713865+00</t>
  </si>
  <si>
    <t>alba</t>
  </si>
  <si>
    <t>Alba</t>
  </si>
  <si>
    <t>Alba is a golf simulator booking and operations platform that provides booking and management services to simulator centers.</t>
  </si>
  <si>
    <t>albaplay.com</t>
  </si>
  <si>
    <t>https://pitchbook.com/profiles/company/592615-00</t>
  </si>
  <si>
    <t>2026-05-30 00:10:39.503734+00</t>
  </si>
  <si>
    <t>orakle-weather</t>
  </si>
  <si>
    <t>Orakle Weather</t>
  </si>
  <si>
    <t>Orakle Weather is a startup that provides parametric weather insurance.</t>
  </si>
  <si>
    <t>orakleweather.com</t>
  </si>
  <si>
    <t>orakleweather</t>
  </si>
  <si>
    <t>https://pitchbook.com/profiles/company/593949-52</t>
  </si>
  <si>
    <t>2026-05-30 00:10:39.458535+00</t>
  </si>
  <si>
    <t>ponder-ai</t>
  </si>
  <si>
    <t>Ponder AI</t>
  </si>
  <si>
    <t>Ponder AI is a New York-based startup building an agentic video editor that assists professional filmmakers with editing tasks.</t>
  </si>
  <si>
    <t>ponder.ai</t>
  </si>
  <si>
    <t>https://pitchbook.com/profiles/company/894151-27</t>
  </si>
  <si>
    <t>2026-05-30 00:10:39.413784+00</t>
  </si>
  <si>
    <t>so-cool</t>
  </si>
  <si>
    <t>so.cool</t>
  </si>
  <si>
    <t>so.cool is an Austrian startup developing TerraBreeze, a plug-free, installation-free air-conditioning unit that uses phase-change materials and terracotta heat-exchange tubes to cool indoor spaces.</t>
  </si>
  <si>
    <t>2026-05-30 00:10:39.370227+00</t>
  </si>
  <si>
    <t>diamfab</t>
  </si>
  <si>
    <t>Diamfab</t>
  </si>
  <si>
    <t>Diamfab is a Grenoble-based deeptech that synthesizes semiconductor-grade diamonds for high-radiation, high-temperature and high-voltage applications.</t>
  </si>
  <si>
    <t>Grenoble, Rhone-Alpes, France, Europe</t>
  </si>
  <si>
    <t>diamfab.com</t>
  </si>
  <si>
    <t>diamfab-grenoble</t>
  </si>
  <si>
    <t>https://pitchbook.com/profiles/company/538156-81</t>
  </si>
  <si>
    <t>Contact@diamfab.com</t>
  </si>
  <si>
    <t>2026-05-30 00:10:39.332177+00</t>
  </si>
  <si>
    <t>heygears</t>
  </si>
  <si>
    <t>HeyGears</t>
  </si>
  <si>
    <t>HeyGears is a China-based 3D printing technologies company that produces resin-based printers and related materials and software for dental, industrial, and consumer markets.</t>
  </si>
  <si>
    <t>Guangzhou, Guangdong, China, Asia</t>
  </si>
  <si>
    <t>heygears.com</t>
  </si>
  <si>
    <t>heygears3d</t>
  </si>
  <si>
    <t>https://pitchbook.com/profiles/company/234458-11</t>
  </si>
  <si>
    <t>https://x.com/HeyGears3D</t>
  </si>
  <si>
    <t>lindsay@heygears.com</t>
  </si>
  <si>
    <t>+86 20 8413 2729</t>
  </si>
  <si>
    <t>501-1000</t>
  </si>
  <si>
    <t>2026-05-30 00:10:39.12943+00</t>
  </si>
  <si>
    <t>stark-defence</t>
  </si>
  <si>
    <t>stark-4d54</t>
  </si>
  <si>
    <t>Stark Defence</t>
  </si>
  <si>
    <t>Stark Defence is a drone start-up.</t>
  </si>
  <si>
    <t>Berlin, Berlin, Germany, Europe</t>
  </si>
  <si>
    <t>stark-defence.com</t>
  </si>
  <si>
    <t>https://pitchbook.com/profiles/company/687886-57</t>
  </si>
  <si>
    <t>contact@stark-defence.com</t>
  </si>
  <si>
    <t>2025-08-19 22:30:31.908076+00</t>
  </si>
  <si>
    <t>2026-05-30 00:10:38.924857+00</t>
  </si>
  <si>
    <t>coinone</t>
  </si>
  <si>
    <t>Coinone</t>
  </si>
  <si>
    <t>Coinone is a South Korean cryptocurrency exchange focused on trading digital assets.</t>
  </si>
  <si>
    <t>coinone.co.kr</t>
  </si>
  <si>
    <t>https://pitchbook.com/profiles/company/98050-24</t>
  </si>
  <si>
    <t>https://x.com/CoinoneOfficial</t>
  </si>
  <si>
    <t>info@coinone.co.kr</t>
  </si>
  <si>
    <t>+1 888 254 9656</t>
  </si>
  <si>
    <t>2026-05-30 00:10:38.724444+00</t>
  </si>
  <si>
    <t>almabetter</t>
  </si>
  <si>
    <t>AlmaBetter</t>
  </si>
  <si>
    <t>AlmaBetter is an Indian edtech platform that delivers industry-aligned, project-based upskilling and certification in AI and emerging technologies.</t>
  </si>
  <si>
    <t>Bangalore, Karnataka, India, Asia</t>
  </si>
  <si>
    <t>almabetter.com</t>
  </si>
  <si>
    <t>https://pitchbook.com/profiles/company/512632-36</t>
  </si>
  <si>
    <t>https://x.com/AlmaBetter</t>
  </si>
  <si>
    <t>admissions@almabetter.com</t>
  </si>
  <si>
    <t>2026-05-30 00:10:38.52797+00</t>
  </si>
  <si>
    <t>sg-enviro</t>
  </si>
  <si>
    <t>SG Enviro</t>
  </si>
  <si>
    <t>SG Enviro is a Singapore-headquartered industrial water and wastewater engineering firm providing design, build, integration, operations, maintenance, and retrofit services.</t>
  </si>
  <si>
    <t>Singapore, Central Region, Singapore, Asia</t>
  </si>
  <si>
    <t>sg-enviro.com</t>
  </si>
  <si>
    <t>sg-enviro-pte-ltd</t>
  </si>
  <si>
    <t>https://pitchbook.com/profiles/company/904208-59</t>
  </si>
  <si>
    <t>+65 6877 4370</t>
  </si>
  <si>
    <t>2025-08-05 13:00:30.01383+00</t>
  </si>
  <si>
    <t>2026-05-30 00:10:38.32615+00</t>
  </si>
  <si>
    <t>smash-padel</t>
  </si>
  <si>
    <t>Smash Padel</t>
  </si>
  <si>
    <t>Smash Padel is a UK racket sport business that operates staffed, coaching-led padel venues focused on community engagement and player development.</t>
  </si>
  <si>
    <t>smashpadel.co</t>
  </si>
  <si>
    <t>smashpadeluk</t>
  </si>
  <si>
    <t>https://pitchbook.com/profiles/company/607084-93</t>
  </si>
  <si>
    <t>2026-05-30 00:10:38.164239+00</t>
  </si>
  <si>
    <t>mysunbed</t>
  </si>
  <si>
    <t>MySunBed</t>
  </si>
  <si>
    <t>MySunBed is a Nice-based startup that operates a marketplace to reserve sunbeds and provides professional software for beach establishments.</t>
  </si>
  <si>
    <t>mysunbed.com</t>
  </si>
  <si>
    <t>https://pitchbook.com/profiles/company/571507-66</t>
  </si>
  <si>
    <t>2026-05-30 00:10:38.117743+00</t>
  </si>
  <si>
    <t>careerble</t>
  </si>
  <si>
    <t>Careerble</t>
  </si>
  <si>
    <t>Careerble is an edutech startup that operates Gromi, a game-based relay reading platform designed to enhance language cognition and reading engagement.</t>
  </si>
  <si>
    <t>2026-05-30 00:10:38.07534+00</t>
  </si>
  <si>
    <t>vitahustle</t>
  </si>
  <si>
    <t>VitaHustle</t>
  </si>
  <si>
    <t>VitaHustle is a plant-based nutrition company that offers an all-in-one protein wellness shake.</t>
  </si>
  <si>
    <t>El Segundo, California, United States, North America</t>
  </si>
  <si>
    <t>vitahustle.com</t>
  </si>
  <si>
    <t>https://pitchbook.com/profiles/company/528322-78</t>
  </si>
  <si>
    <t>https://x.com/vitahustle</t>
  </si>
  <si>
    <t>hello@vitahustle.com</t>
  </si>
  <si>
    <t>2026-05-30 00:10:38.036938+00</t>
  </si>
  <si>
    <t>tulip-tech</t>
  </si>
  <si>
    <t>Tulip Tech</t>
  </si>
  <si>
    <t>Tulip Tech is a Den Bosch‚Äìbased developer of high-energy, custom battery systems for unmanned air, ground, and underwater vehicles.</t>
  </si>
  <si>
    <t>tulip.tech</t>
  </si>
  <si>
    <t>https://pitchbook.com/profiles/company/937207-99</t>
  </si>
  <si>
    <t>2026-05-30 00:10:37.781268+00</t>
  </si>
  <si>
    <t>pax-ai</t>
  </si>
  <si>
    <t>Pax AI</t>
  </si>
  <si>
    <t>Pax AI is a Brazilian startup that helps law enforcement turn real-world data into safer neighborhoods using AI.</t>
  </si>
  <si>
    <t>San Francisco, California, United States, North America</t>
  </si>
  <si>
    <t>paxai.com</t>
  </si>
  <si>
    <t>getpaxai</t>
  </si>
  <si>
    <t>support@paxai.com</t>
  </si>
  <si>
    <t>2026-05-30 00:10:37.740411+00</t>
  </si>
  <si>
    <t>enky</t>
  </si>
  <si>
    <t>Enky</t>
  </si>
  <si>
    <t>Enky is a subscription-based furniture company that provides furniture-as-a-service‚Äîdeploying rented furniture on recurring contracts, achieving high renewal rates and raising capital via periodic crowdfunding rounds.</t>
  </si>
  <si>
    <t>Brussels, Brussels Hoofdstedelijk Gewest, Belgium, Europe</t>
  </si>
  <si>
    <t>enky.com</t>
  </si>
  <si>
    <t>https://pitchbook.com/profiles/company/472064-41</t>
  </si>
  <si>
    <t>hello@enky.com</t>
  </si>
  <si>
    <t>2026-05-30 00:10:37.584466+00</t>
  </si>
  <si>
    <t>asteromorph</t>
  </si>
  <si>
    <t>Asteromorph</t>
  </si>
  <si>
    <t>Asteromorph is a South Korean AI research lab developing an autonomous scientific system and a foundation model called Spacer to generate research ideas and hypotheses in biology and chemistry.</t>
  </si>
  <si>
    <t>asteromorph.com</t>
  </si>
  <si>
    <t>https://x.com/realAsteromorph</t>
  </si>
  <si>
    <t>comm@asteromorph.com</t>
  </si>
  <si>
    <t>2026-05-30 00:10:37.324646+00</t>
  </si>
  <si>
    <t>anderson-diagnostics</t>
  </si>
  <si>
    <t>anderson-diagnostics-labs</t>
  </si>
  <si>
    <t>Anderson Diagnostics</t>
  </si>
  <si>
    <t>Anderson Diagnostics is a Chennai-based diagnostics firm that provides imaging and specialty laboratory services‚Äîincluding oncology imaging, theranostics, clinical genetics, radiology and pathology‚Äîacross South India.</t>
  </si>
  <si>
    <t>Chennai, Tamil Nadu, India, Asia</t>
  </si>
  <si>
    <t>andersondiagnostics.com</t>
  </si>
  <si>
    <t>anderson-diagnostics-and-labs</t>
  </si>
  <si>
    <t>https://pitchbook.com/profiles/company/131024-89</t>
  </si>
  <si>
    <t>https://x.com/andersondschenn</t>
  </si>
  <si>
    <t>info@andersondiagnostics.com</t>
  </si>
  <si>
    <t>251-500</t>
  </si>
  <si>
    <t>2026-05-30 00:10:37.119123+00</t>
  </si>
  <si>
    <t>ladderup-housing</t>
  </si>
  <si>
    <t>LadderUp Housing</t>
  </si>
  <si>
    <t>LadderUp Housing is a mission-driven housing company that purchases, renovates and constructs single-family homes and rents them to working families under a rent-to-homeownership model combined with financial coaching.</t>
  </si>
  <si>
    <t>ladderuphousing.com</t>
  </si>
  <si>
    <t>https://pitchbook.com/profiles/company/624396-97</t>
  </si>
  <si>
    <t>2026-05-28 23:02:28.721804+00</t>
  </si>
  <si>
    <t>2026-05-30 00:10:36.954792+00</t>
  </si>
  <si>
    <t>katharos</t>
  </si>
  <si>
    <t>Katharos</t>
  </si>
  <si>
    <t>Katharos is a British recycling business developing waste and material recovery infrastructure, including Material Recovery Facilities (MRFs).</t>
  </si>
  <si>
    <t>katharos.uk</t>
  </si>
  <si>
    <t>katharos-uk</t>
  </si>
  <si>
    <t>2026-05-30 00:10:36.909095+00</t>
  </si>
  <si>
    <t>rowan-3</t>
  </si>
  <si>
    <t>rowan-digital-infrastructure</t>
  </si>
  <si>
    <t>Rowan</t>
  </si>
  <si>
    <t>Rowan is a US data center firm developing turnkey data center campuses.</t>
  </si>
  <si>
    <t>Houston, Texas, United States, North America</t>
  </si>
  <si>
    <t>rowan.digital</t>
  </si>
  <si>
    <t>rowandigital</t>
  </si>
  <si>
    <t>https://pitchbook.com/profiles/company/455219-20</t>
  </si>
  <si>
    <t>+1 346 998 5830</t>
  </si>
  <si>
    <t>2026-05-30 00:10:36.700743+00</t>
  </si>
  <si>
    <t>rev-mobilities</t>
  </si>
  <si>
    <t>REV Mobilities</t>
  </si>
  <si>
    <t>REV Mobilities is a French company that converts existing internal-combustion vehicles into battery-electric vehicles via retrofit kits.</t>
  </si>
  <si>
    <t>Paris, Ile-de-France, France, Europe</t>
  </si>
  <si>
    <t>rev-mobilities.com</t>
  </si>
  <si>
    <t>rev-industries</t>
  </si>
  <si>
    <t>https://pitchbook.com/profiles/company/495025-57</t>
  </si>
  <si>
    <t>contact@rev-mobilities.com</t>
  </si>
  <si>
    <t>+33 0 6 26 90 88 24</t>
  </si>
  <si>
    <t>2026-05-30 00:10:36.653231+00</t>
  </si>
  <si>
    <t>atom-2</t>
  </si>
  <si>
    <t>ÏïÑÌÜ∞</t>
  </si>
  <si>
    <t>ÏïÑÌÜ∞ (ATOM Inc.) is a Japanese humanoid robot startup developing two-armed, bipedal robots based on physical AI.</t>
  </si>
  <si>
    <t>2026-05-30 00:10:36.443117+00</t>
  </si>
  <si>
    <t>evolve-green</t>
  </si>
  <si>
    <t>Evolve Green</t>
  </si>
  <si>
    <t>Evolve Green is a developer of distributed solar and commercial &amp; industrial (C&amp;I) renewable energy projects.</t>
  </si>
  <si>
    <t>2026-05-30 00:10:36.399573+00</t>
  </si>
  <si>
    <t>backview-technology</t>
  </si>
  <si>
    <t>Backview Technology</t>
  </si>
  <si>
    <t>Backview Technology is a silver-haired economy ecological empowerment trading platform that builds standards, age-appropriate design, and online-offline channels to address trust and distribution gaps for elderly consumers.</t>
  </si>
  <si>
    <t>2026-05-30 00:10:36.356544+00</t>
  </si>
  <si>
    <t>coinquant</t>
  </si>
  <si>
    <t>CoinQuant</t>
  </si>
  <si>
    <t>CoinQuant is a trading intelligence platform that provides institutional-grade backtesting, market-data integrations, risk modeling, and interfaces for both human traders and AI agents.</t>
  </si>
  <si>
    <t>coinquant.ai</t>
  </si>
  <si>
    <t>2026-05-25 23:01:45.030208+00</t>
  </si>
  <si>
    <t>2026-05-30 00:10:36.308494+00</t>
  </si>
  <si>
    <t>novetape</t>
  </si>
  <si>
    <t>Nov√©tape</t>
  </si>
  <si>
    <t>Nov√©tape is an impact-focused real estate investment company (fonci√®re) created by R√©sid√©tape in 2020 that aims to improve access to housing and employment for vulnerable populations.</t>
  </si>
  <si>
    <t>residetape.fr</t>
  </si>
  <si>
    <t>2026-05-30 00:10:36.263075+00</t>
  </si>
  <si>
    <t>verdo</t>
  </si>
  <si>
    <t>VERDO</t>
  </si>
  <si>
    <t>VERDO is a smart mobility platform spun out of Helbiz that operates and manages shared e-scooter services in North America using an asset-light operating model.</t>
  </si>
  <si>
    <t>2026-05-30 00:10:36.217904+00</t>
  </si>
  <si>
    <t>bicell-standard</t>
  </si>
  <si>
    <t>Bicell Standard</t>
  </si>
  <si>
    <t>Bicell Standard is the operator of STO platform PIECE and a multi-asset issuer of tokenized securities.</t>
  </si>
  <si>
    <t>2026-05-30 00:10:36.174239+00</t>
  </si>
  <si>
    <t>ai-gurus-group</t>
  </si>
  <si>
    <t>AI Gurus Group</t>
  </si>
  <si>
    <t>AI Gurus Group is an AI-focused company based in Queensland, Australia.</t>
  </si>
  <si>
    <t>aigurusgroup.com</t>
  </si>
  <si>
    <t>ai-gurus-group-uk</t>
  </si>
  <si>
    <t>2026-05-30 00:10:36.128061+00</t>
  </si>
  <si>
    <t>shipxpeed</t>
  </si>
  <si>
    <t>ShipXpeed</t>
  </si>
  <si>
    <t>ShipXpeed is an AI-powered logistics and courier aggregation startup that provides shipping intelligence and automated courier allocation for e-commerce sellers.</t>
  </si>
  <si>
    <t>shipxpeed.com</t>
  </si>
  <si>
    <t>2026-05-30 00:10:36.080232+00</t>
  </si>
  <si>
    <t>canzi-technology</t>
  </si>
  <si>
    <t>Canzi Technology</t>
  </si>
  <si>
    <t>Canzi Technology is a Chinese mobile game developer focused on AI-integrated gaming, developing the mobile title SweechRUN.</t>
  </si>
  <si>
    <t>2026-05-30 00:10:36.03603+00</t>
  </si>
  <si>
    <t>watt</t>
  </si>
  <si>
    <t>Watt</t>
  </si>
  <si>
    <t>Watt is a startup building signal infrastructure for AI agents.</t>
  </si>
  <si>
    <t>wattdata.ai</t>
  </si>
  <si>
    <t>watt-data</t>
  </si>
  <si>
    <t>https://pitchbook.com/profiles/company/460203-67</t>
  </si>
  <si>
    <t>https://x.com/wattdata</t>
  </si>
  <si>
    <t>2026-05-30 00:10:35.873768+00</t>
  </si>
  <si>
    <t>otter-ferry</t>
  </si>
  <si>
    <t>Otter Ferry</t>
  </si>
  <si>
    <t>Otter Ferry Seafish is an aquaculture company that rears juvenile halibut and operates hatchery and sea-cage grow-out operations.</t>
  </si>
  <si>
    <t>otterferryseafish.com</t>
  </si>
  <si>
    <t>otter-ferry-seafish-limited</t>
  </si>
  <si>
    <t>https://pitchbook.com/profiles/company/711271-09</t>
  </si>
  <si>
    <t>2026-05-30 00:10:35.828392+00</t>
  </si>
  <si>
    <t>dgrid</t>
  </si>
  <si>
    <t>dgrid-ai</t>
  </si>
  <si>
    <t>DGrid</t>
  </si>
  <si>
    <t>DGrid is a decentralized AI network that provides verifiable inference via a Proof of Quality mechanism alongside a Smart Router, Marketplace, and an Arena on BNB Chain.</t>
  </si>
  <si>
    <t>dgrid.ai</t>
  </si>
  <si>
    <t>https://pitchbook.com/profiles/company/1158599-89</t>
  </si>
  <si>
    <t>https://x.com/dgrid_ai</t>
  </si>
  <si>
    <t>2026-05-30 00:10:35.783029+00</t>
  </si>
  <si>
    <t>nexus-inclusion</t>
  </si>
  <si>
    <t>Nexus Inclusion</t>
  </si>
  <si>
    <t>Nexus Inclusion is a B2B digital accessibility and inclusion software company that analyses websites and digital media and provides actionable guidance and fixes to improve accessibility and compliance.</t>
  </si>
  <si>
    <t>Dublin, Dublin, Ireland, Europe</t>
  </si>
  <si>
    <t>nexusinclusion.com</t>
  </si>
  <si>
    <t>nexusinclusion</t>
  </si>
  <si>
    <t>https://pitchbook.com/profiles/company/820633-78</t>
  </si>
  <si>
    <t>hello@nexusinclusion.com</t>
  </si>
  <si>
    <t>2026-05-30 00:10:35.589622+00</t>
  </si>
  <si>
    <t>ebkernel</t>
  </si>
  <si>
    <t>EBKernel</t>
  </si>
  <si>
    <t>EBKernel develops a neuromorphic-based Cognitive World Model that enables robots to autonomously set goals, perceive environments, plan and execute tasks while continuously learning from real-world feedback.</t>
  </si>
  <si>
    <t>2026-05-30 00:10:35.519839+00</t>
  </si>
  <si>
    <t>advanced-aesthetic-technologies</t>
  </si>
  <si>
    <t>netcapital</t>
  </si>
  <si>
    <t>Netcapital</t>
  </si>
  <si>
    <t>Netcapital is a company that announced a financing agreement to issue preferred shares.</t>
  </si>
  <si>
    <t>Boston, Massachusetts, United States, North America</t>
  </si>
  <si>
    <t>netcapital.com</t>
  </si>
  <si>
    <t>https://x.com/netcapital</t>
  </si>
  <si>
    <t>hello@netcapital.com</t>
  </si>
  <si>
    <t>+1 781-925-1700</t>
  </si>
  <si>
    <t>2026-05-29 23:39:50.623906+00</t>
  </si>
  <si>
    <t>pitz</t>
  </si>
  <si>
    <t>pitzmx</t>
  </si>
  <si>
    <t>Pitz</t>
  </si>
  <si>
    <t>Pitz is a Mexican startup that provides an AI-powered operations platform for automotive repair workshops, combining diagnostics, management, logistics and a parts marketplace.</t>
  </si>
  <si>
    <t>Delaware, Ohio, United States, North America</t>
  </si>
  <si>
    <t>pitz.com.mx</t>
  </si>
  <si>
    <t>https://pitchbook.com/profiles/company/865585-54</t>
  </si>
  <si>
    <t>natalia@pitz.com.mx</t>
  </si>
  <si>
    <t>2025-09-30 22:30:28.197209+00</t>
  </si>
  <si>
    <t>2026-05-29 23:39:50.57543+00</t>
  </si>
  <si>
    <t>seair</t>
  </si>
  <si>
    <t>Seair</t>
  </si>
  <si>
    <t>SEAir is a Lorient-based company that develops and manufactures naval foiling drones.</t>
  </si>
  <si>
    <t>Lorient, Bretagne, France, Europe</t>
  </si>
  <si>
    <t>seair-boat.fr</t>
  </si>
  <si>
    <t>https://pitchbook.com/profiles/company/327397-87</t>
  </si>
  <si>
    <t>https://x.com/SEAirFlyingBoat</t>
  </si>
  <si>
    <t>+33 (0)9 72 60 10 84</t>
  </si>
  <si>
    <t>2025-10-11 19:32:59.543497+00</t>
  </si>
  <si>
    <t>2026-05-29 23:39:50.300387+00</t>
  </si>
  <si>
    <t>nprep</t>
  </si>
  <si>
    <t>NPrep</t>
  </si>
  <si>
    <t>NPrep is an AI-powered, video-first nursing education and career advancement platform that helps healthcare professionals prepare for competitive exams and secure higher-paying jobs.</t>
  </si>
  <si>
    <t>Jodhpur, Rajasthan, India, Asia</t>
  </si>
  <si>
    <t>nprep.in</t>
  </si>
  <si>
    <t>https://pitchbook.com/profiles/company/625544-56</t>
  </si>
  <si>
    <t>2025-08-07 20:00:32.764485+00</t>
  </si>
  <si>
    <t>2026-05-29 23:39:50.119359+00</t>
  </si>
  <si>
    <t>picogrid</t>
  </si>
  <si>
    <t>Picogrid</t>
  </si>
  <si>
    <t>Picogrid builds hardware-enabled software that connects sensors, unmanned platforms, and digital systems to integrate mission-critical systems for defense and industrial environments.</t>
  </si>
  <si>
    <t>picogrid.com</t>
  </si>
  <si>
    <t>https://pitchbook.com/profiles/company/462207-07</t>
  </si>
  <si>
    <t>https://twitter.com/picogrid</t>
  </si>
  <si>
    <t>2026-05-29 23:39:50.071822+00</t>
  </si>
  <si>
    <t>hypernova</t>
  </si>
  <si>
    <t>Hypernova</t>
  </si>
  <si>
    <t>Hypernova is an on-chain proprietary trading platform built on the Hyperliquid ecosystem that enforces trading rules and automates payouts via smart contracts.</t>
  </si>
  <si>
    <t>2026-05-28 19:00:41.271966+00</t>
  </si>
  <si>
    <t>2026-05-29 23:39:49.788036+00</t>
  </si>
  <si>
    <t>wonderful</t>
  </si>
  <si>
    <t>wonderful-6ee5</t>
  </si>
  <si>
    <t>Wonderful</t>
  </si>
  <si>
    <t>Wonderful is an Israeli startup that builds AI-driven agents for large enterprises and combines technology with consulting to deploy those solutions.</t>
  </si>
  <si>
    <t>wonderful.ai</t>
  </si>
  <si>
    <t>wonderfulcx</t>
  </si>
  <si>
    <t>https://pitchbook.com/profiles/company/893945-17</t>
  </si>
  <si>
    <t>https://x.com/wonderful_ai</t>
  </si>
  <si>
    <t>privacy@wonderful.ai</t>
  </si>
  <si>
    <t>2025-11-11 20:30:24.032778+00</t>
  </si>
  <si>
    <t>2026-05-29 23:39:49.303744+00</t>
  </si>
  <si>
    <t>ifast</t>
  </si>
  <si>
    <t>ifast-diagnostics</t>
  </si>
  <si>
    <t>iFast Diagnostics</t>
  </si>
  <si>
    <t>iFAST Diagnostics is a UK diagnostics firm developing the iFAST One ultra-rapid antimicrobial susceptibility test system that delivers AST results in under three hours.</t>
  </si>
  <si>
    <t>Northampton, Northamptonshire, United Kingdom, Europe</t>
  </si>
  <si>
    <t>ifastdiagnostics.com</t>
  </si>
  <si>
    <t>https://pitchbook.com/profiles/company/518490-28</t>
  </si>
  <si>
    <t>toby@ifastdiagnostics.com</t>
  </si>
  <si>
    <t>+44 (0)7788 595176</t>
  </si>
  <si>
    <t>2026-05-29 23:35:35.340393+00</t>
  </si>
  <si>
    <t>stilta</t>
  </si>
  <si>
    <t>Stilta</t>
  </si>
  <si>
    <t>Stilta is an AI platform that automates patent research and analytical work for intellectual property cases.</t>
  </si>
  <si>
    <t>stilta.com</t>
  </si>
  <si>
    <t>https://pitchbook.com/profiles/company/1240453-99</t>
  </si>
  <si>
    <t>oskar@stilta.com</t>
  </si>
  <si>
    <t>2026-05-19 14:00:45.827832+00</t>
  </si>
  <si>
    <t>2026-05-29 23:35:35.338726+00</t>
  </si>
  <si>
    <t>payslip</t>
  </si>
  <si>
    <t>Payslip</t>
  </si>
  <si>
    <t>Payslip is a global payroll technology company that gives multinational enterprises greater control, automation and visibility across complex payroll operations.</t>
  </si>
  <si>
    <t>Mayo, Mayo, Ireland, Europe</t>
  </si>
  <si>
    <t>payslip.com</t>
  </si>
  <si>
    <t>payslipsoftware</t>
  </si>
  <si>
    <t>https://pitchbook.com/profiles/company/227650-60</t>
  </si>
  <si>
    <t>https://twitter.com/payslipglobal</t>
  </si>
  <si>
    <t>hello@payslip.com</t>
  </si>
  <si>
    <t>+353 1 443 4820</t>
  </si>
  <si>
    <t>2026-05-29 23:35:35.336953+00</t>
  </si>
  <si>
    <t>protuoso-biosciences</t>
  </si>
  <si>
    <t>Protuoso Biosciences</t>
  </si>
  <si>
    <t>Protuoso Biosciences is a biotechnology company developing multifunctional MUXBODIES‚Ñ¢, fully recombinant fusion proteins that integrate multiple protein modalities.</t>
  </si>
  <si>
    <t>protuoso.bio</t>
  </si>
  <si>
    <t>protuoso-bio</t>
  </si>
  <si>
    <t>https://pitchbook.com/profiles/company/1279922-14</t>
  </si>
  <si>
    <t>2026-05-27 14:00:42.981651+00</t>
  </si>
  <si>
    <t>2026-05-29 23:35:35.334416+00</t>
  </si>
  <si>
    <t>renasens</t>
  </si>
  <si>
    <t>Renasens</t>
  </si>
  <si>
    <t>Renasens is a Stockholm-based deeptech company developing a CO‚ÇÇ‚Äëbased textile recycling platform that recovers intact fibres from blended and treated textiles.</t>
  </si>
  <si>
    <t>Stockholm, Stockholms Lan, Sweden, Europe</t>
  </si>
  <si>
    <t>renasens.com</t>
  </si>
  <si>
    <t>https://pitchbook.com/profiles/company/616033-81</t>
  </si>
  <si>
    <t>info@renasens.se</t>
  </si>
  <si>
    <t>2026-03-25 12:00:33.941423+00</t>
  </si>
  <si>
    <t>2026-05-29 23:35:35.331224+00</t>
  </si>
  <si>
    <t>deelan-ai</t>
  </si>
  <si>
    <t>Deelan AI</t>
  </si>
  <si>
    <t>Deelan AI is an AI-powered sales training platform that generates role-specific training from a company‚Äôs existing materials and adapts continuously based on individual performance.</t>
  </si>
  <si>
    <t>deelan.ai</t>
  </si>
  <si>
    <t>deelan</t>
  </si>
  <si>
    <t>https://pitchbook.com/profiles/company/1161824-32</t>
  </si>
  <si>
    <t>2026-05-27 23:02:49.933275+00</t>
  </si>
  <si>
    <t>2026-05-29 23:35:35.328586+00</t>
  </si>
  <si>
    <t>cloudgeni</t>
  </si>
  <si>
    <t>Cloudgeni</t>
  </si>
  <si>
    <t>Cloudgeni is an AI company that automates cloud infrastructure operations, security and cost control.</t>
  </si>
  <si>
    <t>Oslo, Oslo, Norway, Europe</t>
  </si>
  <si>
    <t>cloudgeni.ai</t>
  </si>
  <si>
    <t>cloudgeni-ai</t>
  </si>
  <si>
    <t>https://pitchbook.com/profiles/company/756573-94</t>
  </si>
  <si>
    <t>iuliia@cloudgeni.ai</t>
  </si>
  <si>
    <t>2026-05-29 23:35:35.326823+00</t>
  </si>
  <si>
    <t>stellar-alpina</t>
  </si>
  <si>
    <t>Stellar Alpina</t>
  </si>
  <si>
    <t>Stellar Alpina is a Zurich-based SpaceTech company developing compact rotating detonation rocket engines and in-space vehicle architectures for orbital mobility and high-energy transfers.</t>
  </si>
  <si>
    <t>stellar-alpina.ch</t>
  </si>
  <si>
    <t>https://pitchbook.com/profiles/company/1396066-69</t>
  </si>
  <si>
    <t>2026-05-28 11:00:34.863251+00</t>
  </si>
  <si>
    <t>2026-05-29 23:35:35.325248+00</t>
  </si>
  <si>
    <t>sponsorcx</t>
  </si>
  <si>
    <t>SponsorCX</t>
  </si>
  <si>
    <t>SponsorCX provides a platform that simplifies and modernizes partnership operations for organizations that sell sponsorships and the brands that invest in them.</t>
  </si>
  <si>
    <t>American Fork, Utah, United States, North America</t>
  </si>
  <si>
    <t>sponsorcx.com</t>
  </si>
  <si>
    <t>https://pitchbook.com/profiles/company/482544-01</t>
  </si>
  <si>
    <t>https://twitter.com/SponsorCX</t>
  </si>
  <si>
    <t>info@sponsorcx.com</t>
  </si>
  <si>
    <t>(385) 336-5263</t>
  </si>
  <si>
    <t>2026-05-29 23:35:35.324192+00</t>
  </si>
  <si>
    <t>gemesis</t>
  </si>
  <si>
    <t>Gemesis</t>
  </si>
  <si>
    <t>Gemesis develops Aperio, an industrial neutron imaging platform for nondestructive testing of energy components.</t>
  </si>
  <si>
    <t>gemesis.eu</t>
  </si>
  <si>
    <t>gemesis-sas</t>
  </si>
  <si>
    <t>2026-05-26 23:01:56.09034+00</t>
  </si>
  <si>
    <t>2026-05-29 23:35:35.319164+00</t>
  </si>
  <si>
    <t>secretome-therapeutics</t>
  </si>
  <si>
    <t>Secretome Therapeutics</t>
  </si>
  <si>
    <t>Secretome Therapeutics is a clinical-stage biotechnology company developing therapies derived from neonatal cardiac progenitor cells.</t>
  </si>
  <si>
    <t>Dallas, Texas, United States, North America</t>
  </si>
  <si>
    <t>secretometherapeutics.com</t>
  </si>
  <si>
    <t>secretometx</t>
  </si>
  <si>
    <t>https://pitchbook.com/profiles/company/437419-09</t>
  </si>
  <si>
    <t>info@secretometx.com</t>
  </si>
  <si>
    <t>(410) 874-0055</t>
  </si>
  <si>
    <t>2025-07-19 16:28:48.50392+00</t>
  </si>
  <si>
    <t>2026-05-29 23:35:35.313454+00</t>
  </si>
  <si>
    <t>metisx</t>
  </si>
  <si>
    <t>XCENA(formerly MetisX)</t>
  </si>
  <si>
    <t>XCENA (formerly MetisX) is a chip startup building memory-centric processors that place compute close to DRAM to handle data orchestration and reduce CPU/GPU memory round trips.</t>
  </si>
  <si>
    <t>Seongnam, Kyonggi-do, South Korea, Asia</t>
  </si>
  <si>
    <t>xcena.com</t>
  </si>
  <si>
    <t>xcena</t>
  </si>
  <si>
    <t>https://pitchbook.com/profiles/company/522850-60</t>
  </si>
  <si>
    <t>contact@xcena.com</t>
  </si>
  <si>
    <t>2026-05-29 23:35:35.308153+00</t>
  </si>
  <si>
    <t>mafer-ai</t>
  </si>
  <si>
    <t>Mafer AI</t>
  </si>
  <si>
    <t>Mafer AI is a Barcelona-based startup building MaferOS, an AI-native operating system that helps R&amp;D teams in specialty chemicals, food ingredients and cosmetics structure historical lab data, automate regulatory compliance and train client-specific models.</t>
  </si>
  <si>
    <t>Barcelona, Catalonia, Spain, Europe</t>
  </si>
  <si>
    <t>mafer.ai</t>
  </si>
  <si>
    <t>https://pitchbook.com/profiles/company/1379322-73</t>
  </si>
  <si>
    <t>info@mafer.ai</t>
  </si>
  <si>
    <t>2026-05-29 23:35:35.307223+00</t>
  </si>
  <si>
    <t>elonroad</t>
  </si>
  <si>
    <t>Elonroad</t>
  </si>
  <si>
    <t>Elonroad is the company reported to have raised 90 million and is targeting expansion toward new harbors</t>
  </si>
  <si>
    <t>Lund, Skane Lan, Sweden, Europe</t>
  </si>
  <si>
    <t>elonroad.com</t>
  </si>
  <si>
    <t>https://pitchbook.com/profiles/company/226982-17</t>
  </si>
  <si>
    <t>2026-05-29 23:35:35.305712+00</t>
  </si>
  <si>
    <t>novaleum</t>
  </si>
  <si>
    <t>Novaleum</t>
  </si>
  <si>
    <t>Novaleum is a startup that separates greasy waste into solid, oil and recycled water fractions for recovery and reuse.</t>
  </si>
  <si>
    <t>Lyon, Rhone-Alpes, France, Europe</t>
  </si>
  <si>
    <t>novaleum.com</t>
  </si>
  <si>
    <t>contact@novaleum.com</t>
  </si>
  <si>
    <t>2026-04-10 12:00:42.863427+00</t>
  </si>
  <si>
    <t>2026-05-29 23:35:35.304711+00</t>
  </si>
  <si>
    <t>magiqware</t>
  </si>
  <si>
    <t>MagiQware</t>
  </si>
  <si>
    <t>MagiQware is a Delft-based quantum computing startup developing AI-driven software to optimize magic state factories and lower the resource overhead for fault-tolerant quantum computing.</t>
  </si>
  <si>
    <t>Delft, Zuid-Holland, The Netherlands, Europe</t>
  </si>
  <si>
    <t>magiqware.com</t>
  </si>
  <si>
    <t>https://pitchbook.com/profiles/company/969711-58</t>
  </si>
  <si>
    <t>contact@magiqware.com</t>
  </si>
  <si>
    <t>2026-05-29 23:35:35.30253+00</t>
  </si>
  <si>
    <t>edged</t>
  </si>
  <si>
    <t>edged-dcab</t>
  </si>
  <si>
    <t>Edged</t>
  </si>
  <si>
    <t>Edged is a data center operator building sustainable, AI-ready digital infrastructure for large-scale training and inference workloads.</t>
  </si>
  <si>
    <t>edgedenergy.com</t>
  </si>
  <si>
    <t>edgedenergy</t>
  </si>
  <si>
    <t>2026-05-28 17:00:39.928982+00</t>
  </si>
  <si>
    <t>2026-05-29 23:35:35.301655+00</t>
  </si>
  <si>
    <t>daloopa</t>
  </si>
  <si>
    <t>Daloopa</t>
  </si>
  <si>
    <t>Daloopa is the financial data layer that sources, structures, and distributes structured, source-linked historical financial data for investment firms and AI workflows.</t>
  </si>
  <si>
    <t>daloopa.com</t>
  </si>
  <si>
    <t>https://pitchbook.com/profiles/company/289686-34</t>
  </si>
  <si>
    <t>https://x.com/daloopa_com</t>
  </si>
  <si>
    <t>thomas@daloopa.com</t>
  </si>
  <si>
    <t>2026-05-29 23:35:35.300736+00</t>
  </si>
  <si>
    <t>harry-howard-ai</t>
  </si>
  <si>
    <t>Harry Howard AI</t>
  </si>
  <si>
    <t>Harry Howard AI is an AI agent platform that provides a unified, context-aware workspace for one-person companies to validate ideas, build business assets, and manage operations.</t>
  </si>
  <si>
    <t>harryhowardai.com</t>
  </si>
  <si>
    <t>2026-05-29 18:00:40.626308+00</t>
  </si>
  <si>
    <t>2026-05-29 23:35:35.296293+00</t>
  </si>
  <si>
    <t>dust</t>
  </si>
  <si>
    <t>dust-5f56</t>
  </si>
  <si>
    <t>Dust</t>
  </si>
  <si>
    <t>Dust is a multiplayer AI operating system that enables businesses to deploy, orchestrate, and govern fleets of specialized AI agents connected to company knowledge and tools.</t>
  </si>
  <si>
    <t>dust.tt</t>
  </si>
  <si>
    <t>dust-tt</t>
  </si>
  <si>
    <t>https://pitchbook.com/profiles/company/517577-59</t>
  </si>
  <si>
    <t>2026-05-29 23:35:35.294823+00</t>
  </si>
  <si>
    <t>h1</t>
  </si>
  <si>
    <t>H1</t>
  </si>
  <si>
    <t>H1 is a healthcare data platform that sells detailed information about doctors to pharmaceutical companies, hospital systems, and health insurers.</t>
  </si>
  <si>
    <t>h1.co</t>
  </si>
  <si>
    <t>h1co</t>
  </si>
  <si>
    <t>https://pitchbook.com/profiles/company/230993-11</t>
  </si>
  <si>
    <t>https://x.com/h1co_</t>
  </si>
  <si>
    <t>contactus@h1.co</t>
  </si>
  <si>
    <t>646.363.6450</t>
  </si>
  <si>
    <t>2026-05-29 23:35:35.293966+00</t>
  </si>
  <si>
    <t>damroo</t>
  </si>
  <si>
    <t>Damroo</t>
  </si>
  <si>
    <t>Damroo is an artist-first music streaming, distribution, and growth platform that empowers independent and regional artists in India.</t>
  </si>
  <si>
    <t>Thane, Maharashtra, India, Asia</t>
  </si>
  <si>
    <t>damroo.co</t>
  </si>
  <si>
    <t>https://pitchbook.com/profiles/company/528771-70</t>
  </si>
  <si>
    <t>2026-05-18 23:03:03.28021+00</t>
  </si>
  <si>
    <t>2026-05-29 23:35:35.289135+00</t>
  </si>
  <si>
    <t>vetir</t>
  </si>
  <si>
    <t>V√™tir</t>
  </si>
  <si>
    <t>V√™tir is an AI-powered luxury wardrobe operating system that provides a digital closet, personalized styling, and integrated commerce for high-value consumers and enterprise partners.</t>
  </si>
  <si>
    <t>vetirapp.com</t>
  </si>
  <si>
    <t>v%c3%aatir-inc</t>
  </si>
  <si>
    <t>https://pitchbook.com/profiles/company/1395899-11</t>
  </si>
  <si>
    <t>2026-05-21 14:00:45.362866+00</t>
  </si>
  <si>
    <t>2026-05-29 23:35:35.287615+00</t>
  </si>
  <si>
    <t>signos</t>
  </si>
  <si>
    <t>signos-inc</t>
  </si>
  <si>
    <t>Signos</t>
  </si>
  <si>
    <t>Signos is a mobile AI-driven company that uses an over-the-counter continuous glucose monitor to deliver FDA-cleared, personalized insights for weight management.</t>
  </si>
  <si>
    <t>Burlingame, California, United States, North America</t>
  </si>
  <si>
    <t>signos.com</t>
  </si>
  <si>
    <t>signoshealth</t>
  </si>
  <si>
    <t>https://pitchbook.com/profiles/company/459537-76</t>
  </si>
  <si>
    <t>https://twitter.com/signoshealth/</t>
  </si>
  <si>
    <t>hello@signos.com</t>
  </si>
  <si>
    <t>2026-05-29 23:35:35.284262+00</t>
  </si>
  <si>
    <t>go-swag</t>
  </si>
  <si>
    <t>Go Swag</t>
  </si>
  <si>
    <t>Go Swag is a technology platform that helps companies manage and distribute branded gifts globally, combining AI-powered curation with logistics, warehousing, and international fulfilment.</t>
  </si>
  <si>
    <t>Glasgow, Glasgow City, United Kingdom, Europe</t>
  </si>
  <si>
    <t>goswag.com</t>
  </si>
  <si>
    <t>goswag</t>
  </si>
  <si>
    <t>https://pitchbook.com/profiles/company/506689-66</t>
  </si>
  <si>
    <t>https://x.com/UseGoSwag</t>
  </si>
  <si>
    <t>0800 118 4047</t>
  </si>
  <si>
    <t>2026-05-27 11:00:43.521081+00</t>
  </si>
  <si>
    <t>2026-05-29 23:35:35.281+00</t>
  </si>
  <si>
    <t>leverage-edu</t>
  </si>
  <si>
    <t>Leverage Edu</t>
  </si>
  <si>
    <t>Leverage Edu is a study-abroad platform that assists students with overseas admissions, education financing, visa services, and test preparation.</t>
  </si>
  <si>
    <t>New Delhi, Delhi, India, Asia</t>
  </si>
  <si>
    <t>leverageedu.com</t>
  </si>
  <si>
    <t>https://pitchbook.com/profiles/company/184238-11</t>
  </si>
  <si>
    <t>https://x.com/leverageedu?s=08</t>
  </si>
  <si>
    <t>myawesomecareer@leverageedu.com</t>
  </si>
  <si>
    <t>+91 99533-11868</t>
  </si>
  <si>
    <t>1001-5000</t>
  </si>
  <si>
    <t>2026-05-29 23:35:35.280118+00</t>
  </si>
  <si>
    <t>kubera-health</t>
  </si>
  <si>
    <t>Kubera Health</t>
  </si>
  <si>
    <t>Kubera Health builds a contract-to-payment system of record that translates payor-provider agreements into structured rules applied continuously to claims and payment data.</t>
  </si>
  <si>
    <t>kuberahealth.com</t>
  </si>
  <si>
    <t>https://pitchbook.com/profiles/company/541434-70</t>
  </si>
  <si>
    <t>2026-05-28 14:00:44.430485+00</t>
  </si>
  <si>
    <t>2026-05-29 23:35:35.277902+00</t>
  </si>
  <si>
    <t>geordie</t>
  </si>
  <si>
    <t>geordie-ai</t>
  </si>
  <si>
    <t>Geordie</t>
  </si>
  <si>
    <t>Geordie is a London-based provider of a security and governance platform for AI agents.</t>
  </si>
  <si>
    <t>London, England, United Kingdom, Europe</t>
  </si>
  <si>
    <t>geordie.ai</t>
  </si>
  <si>
    <t>https://pitchbook.com/profiles/company/960837-22</t>
  </si>
  <si>
    <t>privacy@geordie.ai</t>
  </si>
  <si>
    <t>2025-09-09 13:30:30.605558+00</t>
  </si>
  <si>
    <t>2026-05-29 23:35:35.277086+00</t>
  </si>
  <si>
    <t>quantum-bridge-technologies</t>
  </si>
  <si>
    <t>Quantum Bridge Technologies</t>
  </si>
  <si>
    <t>Quantum Bridge Technologies is a quantum-safe cybersecurity company that provides a cryptographic platform based on a patented Distributed Symmetric Key Establishment (DSKE) protocol to protect communications and infrastructure against quantum threats.</t>
  </si>
  <si>
    <t>qubridge.io</t>
  </si>
  <si>
    <t>https://pitchbook.com/profiles/company/460048-24</t>
  </si>
  <si>
    <t>https://x.com/quantumbridge</t>
  </si>
  <si>
    <t>hello@quantumbridgetech.com</t>
  </si>
  <si>
    <t>2025-07-19 08:48:37.488207+00</t>
  </si>
  <si>
    <t>2026-05-29 23:35:35.274754+00</t>
  </si>
  <si>
    <t>securite</t>
  </si>
  <si>
    <t>SecurITe</t>
  </si>
  <si>
    <t>SecurITe is a company developing agentis360, an agentic AI security platform for healthcare and critical infrastructure.</t>
  </si>
  <si>
    <t>Santa Clara, California, United States, North America</t>
  </si>
  <si>
    <t>securite.world</t>
  </si>
  <si>
    <t>securite-group</t>
  </si>
  <si>
    <t>+1 408 406-1868</t>
  </si>
  <si>
    <t>2026-05-29 23:35:35.272499+00</t>
  </si>
  <si>
    <t>tensormesh</t>
  </si>
  <si>
    <t>Tensormesh</t>
  </si>
  <si>
    <t>Tensormesh is a company that builds caching-accelerated inference optimization for enterprise AI.</t>
  </si>
  <si>
    <t>Foster City, California, United States, North America</t>
  </si>
  <si>
    <t>tensormesh.ai</t>
  </si>
  <si>
    <t>https://pitchbook.com/profiles/company/1153961-11</t>
  </si>
  <si>
    <t>https://x.com/tensormesh</t>
  </si>
  <si>
    <t>info@tensormesh.ai</t>
  </si>
  <si>
    <t>+1 410-215-4403</t>
  </si>
  <si>
    <t>2025-10-23 19:30:29.129292+00</t>
  </si>
  <si>
    <t>2026-05-29 23:35:35.270258+00</t>
  </si>
  <si>
    <t>utilidata</t>
  </si>
  <si>
    <t>Utilidata</t>
  </si>
  <si>
    <t>Utilidata is an Ann Arbor-based company that develops embedded AI solutions for power infrastructure, including the Karman platform for dynamic power orchestration in AI data centers.</t>
  </si>
  <si>
    <t>Ann Arbor, Michigan, United States, North America</t>
  </si>
  <si>
    <t>utilidata.com</t>
  </si>
  <si>
    <t>utilidata-inc-</t>
  </si>
  <si>
    <t>https://pitchbook.com/profiles/company/53830-72</t>
  </si>
  <si>
    <t>info@utilidata.com</t>
  </si>
  <si>
    <t>+1 401 383-5800</t>
  </si>
  <si>
    <t>2026-05-29 23:35:35.266484+00</t>
  </si>
  <si>
    <t>axiom-math</t>
  </si>
  <si>
    <t>axiom-math-ai</t>
  </si>
  <si>
    <t>Axiom Math</t>
  </si>
  <si>
    <t>Axiom (Axiom Math) is a startup building AI systems that use formal mathematics to verify software and scientific reasoning.</t>
  </si>
  <si>
    <t>Palo Alto, California, United States, North America</t>
  </si>
  <si>
    <t>axiommath.ai</t>
  </si>
  <si>
    <t>axiommath</t>
  </si>
  <si>
    <t>careers@axiommath.org</t>
  </si>
  <si>
    <t>2025-10-01 12:30:27.299228+00</t>
  </si>
  <si>
    <t>2026-05-29 23:35:35.265467+00</t>
  </si>
  <si>
    <t>weroad</t>
  </si>
  <si>
    <t>WeRoad</t>
  </si>
  <si>
    <t>WeRoad is a Milan-based group travel startup that organizes themed trips and local in-person events for Millennial and Gen Z travelers.</t>
  </si>
  <si>
    <t>Milan, Lombardia, Italy, Europe</t>
  </si>
  <si>
    <t>weroad.travel</t>
  </si>
  <si>
    <t>https://pitchbook.com/profiles/company/234083-17</t>
  </si>
  <si>
    <t>https://twitter.com/weroad_official</t>
  </si>
  <si>
    <t>info@weroad.it</t>
  </si>
  <si>
    <t>+39 340 0726646</t>
  </si>
  <si>
    <t>2026-05-29 23:35:35.263942+00</t>
  </si>
  <si>
    <t>phia</t>
  </si>
  <si>
    <t>phia-1838</t>
  </si>
  <si>
    <t>Phia</t>
  </si>
  <si>
    <t>Phia is a NYC-based startup offering an AI-powered shopping agent that aligns consumer intent with products from thousands of brands.</t>
  </si>
  <si>
    <t>phia.com</t>
  </si>
  <si>
    <t>phia-co</t>
  </si>
  <si>
    <t>https://pitchbook.com/profiles/company/594043-12</t>
  </si>
  <si>
    <t>support@phia.com</t>
  </si>
  <si>
    <t>(844) 651-4799</t>
  </si>
  <si>
    <t>2025-09-17 22:30:30.710551+00</t>
  </si>
  <si>
    <t>2026-05-29 23:35:35.262288+00</t>
  </si>
  <si>
    <t>vital-signals</t>
  </si>
  <si>
    <t>Vital Signals</t>
  </si>
  <si>
    <t>Vital Signals is a health innovation company building technology to help people understand, engage with, and manage their blood pressure.</t>
  </si>
  <si>
    <t>vitalsignals.com</t>
  </si>
  <si>
    <t>vital-signals-health</t>
  </si>
  <si>
    <t>2026-05-19 12:00:39.846736+00</t>
  </si>
  <si>
    <t>2026-05-29 23:35:35.26083+00</t>
  </si>
  <si>
    <t>slate-auto</t>
  </si>
  <si>
    <t>Slate Auto</t>
  </si>
  <si>
    <t>Slate Auto is an electric truck maker developing Slate Trucks and reindustrializing its Warsaw factory.</t>
  </si>
  <si>
    <t>Troy, Michigan, United States, North America</t>
  </si>
  <si>
    <t>slate.auto</t>
  </si>
  <si>
    <t>slateauto</t>
  </si>
  <si>
    <t>https://pitchbook.com/profiles/company/818738-83</t>
  </si>
  <si>
    <t>https://x.com/slateauto</t>
  </si>
  <si>
    <t>howdy@slate.auto</t>
  </si>
  <si>
    <t>2025-07-25 10:27:44.302984+00</t>
  </si>
  <si>
    <t>2026-05-29 23:35:35.259362+00</t>
  </si>
  <si>
    <t>the-path</t>
  </si>
  <si>
    <t>The Path</t>
  </si>
  <si>
    <t>The Path is an AI therapy and coaching app founded by Anson Whitmer and Tyler Sheaffer (Calm alums) with Tony Robbins as a co-founder.</t>
  </si>
  <si>
    <t>thepath.ai</t>
  </si>
  <si>
    <t>thepathai</t>
  </si>
  <si>
    <t>2026-05-21 16:00:38.22729+00</t>
  </si>
  <si>
    <t>2026-05-29 23:35:35.257137+00</t>
  </si>
  <si>
    <t>vitrify</t>
  </si>
  <si>
    <t>Vitrify</t>
  </si>
  <si>
    <t>Vitrify is a platform that uses AI to extract, classify, and clean capital-markets data from financial documents to help companies visualize and act on market information.</t>
  </si>
  <si>
    <t>S√£o Paulo, Sao Paulo, Brazil, South America</t>
  </si>
  <si>
    <t>vitrify.tech</t>
  </si>
  <si>
    <t>https://pitchbook.com/profiles/company/902659-33</t>
  </si>
  <si>
    <t>daniel@vitrify.tech</t>
  </si>
  <si>
    <t>+ 55 11 948049846</t>
  </si>
  <si>
    <t>2026-03-06 00:02:05.856102+00</t>
  </si>
  <si>
    <t>2026-05-29 23:35:35.255595+00</t>
  </si>
  <si>
    <t>thea-energy</t>
  </si>
  <si>
    <t>Thea Energy</t>
  </si>
  <si>
    <t>Thea Energy is a fusion startup developing software-controlled, tunable rectangular magnets (planar coils) for stellarator-style magnetic confinement reactors.</t>
  </si>
  <si>
    <t>Kearny, New Jersey, United States, North America</t>
  </si>
  <si>
    <t>thea.energy</t>
  </si>
  <si>
    <t>thea</t>
  </si>
  <si>
    <t>https://pitchbook.com/profiles/company/510885-73</t>
  </si>
  <si>
    <t>https://twitter.com/TheaEnergy</t>
  </si>
  <si>
    <t>info@thea.energy</t>
  </si>
  <si>
    <t>2026-05-29 23:35:35.254721+00</t>
  </si>
  <si>
    <t>modiqo</t>
  </si>
  <si>
    <t>Modiqo</t>
  </si>
  <si>
    <t>Modiqo is an AI infrastructure company building a platform to make AI agent workflows reliable and repeatable.</t>
  </si>
  <si>
    <t>Sunnyvale, California, United States, North America</t>
  </si>
  <si>
    <t>modiqo.ai</t>
  </si>
  <si>
    <t>legal@modiqo.ai</t>
  </si>
  <si>
    <t>2026-05-28 15:00:36.585967+00</t>
  </si>
  <si>
    <t>2026-05-29 23:35:35.250728+00</t>
  </si>
  <si>
    <t>checkstep</t>
  </si>
  <si>
    <t>Checkstep</t>
  </si>
  <si>
    <t>Checkstep builds AI-powered contextual content moderation tools, combining machine-learning models, third-party integrations, and human-augmentation to detect and manage misinformation, hate speech, CSAM, bullying, spam, and copyright violations.</t>
  </si>
  <si>
    <t>checkstep.com</t>
  </si>
  <si>
    <t>https://twitter.com/checkstep</t>
  </si>
  <si>
    <t>contact@checkstep.com</t>
  </si>
  <si>
    <t>2026-05-29 23:35:35.250435+00</t>
  </si>
  <si>
    <t>allo-1</t>
  </si>
  <si>
    <t>allo-restaurant</t>
  </si>
  <si>
    <t>allO</t>
  </si>
  <si>
    <t>allO is an AI-native restaurant operating system that integrates front-of-house, back-office, inventory, ordering, reservations, and payments.</t>
  </si>
  <si>
    <t>Munich, Bayern, Germany, Europe</t>
  </si>
  <si>
    <t>allo.restaurant</t>
  </si>
  <si>
    <t>allo-restaurant-system</t>
  </si>
  <si>
    <t>https://x.com/allogastronomy</t>
  </si>
  <si>
    <t>teodor@allo.restaurant</t>
  </si>
  <si>
    <t>+49 17630886901</t>
  </si>
  <si>
    <t>2026-05-29 23:35:35.248713+00</t>
  </si>
  <si>
    <t>clearnote-health</t>
  </si>
  <si>
    <t>bluestar-genomics</t>
  </si>
  <si>
    <t>ClearNote Health</t>
  </si>
  <si>
    <t>ClearNote Health is a privately held company developing noninvasive epigenomic blood tests for early detection and monitoring of deadly cancers.</t>
  </si>
  <si>
    <t>San Diego, California, United States, North America</t>
  </si>
  <si>
    <t>https://pitchbook.com/profiles/company/233923-15</t>
  </si>
  <si>
    <t>info@bluestargenomics.com</t>
  </si>
  <si>
    <t>(833) 258-7827</t>
  </si>
  <si>
    <t>2026-05-29 23:35:35.244393+00</t>
  </si>
  <si>
    <t>anthropic</t>
  </si>
  <si>
    <t>Anthropic</t>
  </si>
  <si>
    <t>Anthropic is a leading artificial intelligence safety and research company that develops the Claude family of highly capable and steerable large language models.</t>
  </si>
  <si>
    <t>anthropic.com</t>
  </si>
  <si>
    <t>anthropicresearch</t>
  </si>
  <si>
    <t>https://pitchbook.com/profiles/company/466959-97</t>
  </si>
  <si>
    <t>https://x.com/AnthropicAI</t>
  </si>
  <si>
    <t>support@anthropic.com</t>
  </si>
  <si>
    <t>2026-05-29 23:35:35.243184+00</t>
  </si>
  <si>
    <t>hellbender</t>
  </si>
  <si>
    <t>Hellbender</t>
  </si>
  <si>
    <t>Hellbender is a Physical AI infrastructure company that builds integrated edge perception platforms enabling machines to see, understand, and act in real time.</t>
  </si>
  <si>
    <t>Pittsburgh, Pennsylvania, United States, North America</t>
  </si>
  <si>
    <t>hellbender.com</t>
  </si>
  <si>
    <t>hellbender-inc</t>
  </si>
  <si>
    <t>https://pitchbook.com/profiles/company/526527-19</t>
  </si>
  <si>
    <t>2026-05-29 23:35:35.229882+00</t>
  </si>
  <si>
    <t>sokin</t>
  </si>
  <si>
    <t>Sokin</t>
  </si>
  <si>
    <t>Sokin is a UK-headquartered payments company offering a multi-currency platform and embedded finance infrastructure that streamlines cross-border accounts payable, receivable, and treasury operations for global businesses.</t>
  </si>
  <si>
    <t>sokin.com</t>
  </si>
  <si>
    <t>https://pitchbook.com/profiles/company/338511-52</t>
  </si>
  <si>
    <t>https://x.com/SokinGlobal</t>
  </si>
  <si>
    <t>info@sokin.com</t>
  </si>
  <si>
    <t>2026-05-29 23:35:35.225932+00</t>
  </si>
  <si>
    <t>kervalion</t>
  </si>
  <si>
    <t>Kervalion</t>
  </si>
  <si>
    <t>Kervalion develops a 3D-printed, bio-resorbable bone graft designed to treat jawbone deficits in dental implantology.</t>
  </si>
  <si>
    <t>kervalion.com</t>
  </si>
  <si>
    <t>https://pitchbook.com/profiles/company/894826-99</t>
  </si>
  <si>
    <t>2026-01-19 23:38:53.335028+00</t>
  </si>
  <si>
    <t>2026-05-29 23:35:35.224346+00</t>
  </si>
  <si>
    <t>luel</t>
  </si>
  <si>
    <t>Luel</t>
  </si>
  <si>
    <t>Luel is a company that builds a contributor network to collect, verify, and rights-clear human training data recordings.</t>
  </si>
  <si>
    <t>luel.ai</t>
  </si>
  <si>
    <t>https://pitchbook.com/profiles/company/1164985-93</t>
  </si>
  <si>
    <t>support@luel.ai</t>
  </si>
  <si>
    <t>2026-05-16 23:03:07.839837+00</t>
  </si>
  <si>
    <t>2026-05-29 23:35:35.222762+00</t>
  </si>
  <si>
    <t>solstice-health</t>
  </si>
  <si>
    <t>Solstice Health</t>
  </si>
  <si>
    <t>Solstice Health is an AI-native marketing agency that pairs AI technology with in-house experts to generate, review and activate compliant marketing content for pharmaceutical brands.</t>
  </si>
  <si>
    <t>solsticehealth.co</t>
  </si>
  <si>
    <t>solsticehealth</t>
  </si>
  <si>
    <t>https://pitchbook.com/profiles/company/506814-58</t>
  </si>
  <si>
    <t>info@solsticehealth.co</t>
  </si>
  <si>
    <t>1 (267) 324-1762</t>
  </si>
  <si>
    <t>2025-07-22 05:25:00.443824+00</t>
  </si>
  <si>
    <t>2026-05-29 23:35:35.221727+00</t>
  </si>
  <si>
    <t>cellife-technologies</t>
  </si>
  <si>
    <t>CeLLife Technologies</t>
  </si>
  <si>
    <t>CeLLife Technologies is a Finnish deep-tech company building a battery quality and health intelligence platform using its patented Electrical Fingerprint (EFP‚Ñ¢) technology.</t>
  </si>
  <si>
    <t>Tampere, Western Finland, Finland, Europe</t>
  </si>
  <si>
    <t>cellife.fi</t>
  </si>
  <si>
    <t>cellife-technlogies</t>
  </si>
  <si>
    <t>https://pitchbook.com/profiles/company/533247-67</t>
  </si>
  <si>
    <t>2026-05-29 23:35:35.219488+00</t>
  </si>
  <si>
    <t>Ê≤ÉÂÖ∞ÁâπËà™Á©∫</t>
  </si>
  <si>
    <t>volant-aerotech</t>
  </si>
  <si>
    <t>Volant Aerotech</t>
  </si>
  <si>
    <t>Volant Aerotech is a Chinese commercial passenger eVTOL company developing the VE25-100 compound-wing aircraft.</t>
  </si>
  <si>
    <t>Minhang, Shanghai, China, Asia</t>
  </si>
  <si>
    <t>volantaerotech.com</t>
  </si>
  <si>
    <t>shanghaivolantaerotechltd</t>
  </si>
  <si>
    <t>https://pitchbook.com/profiles/company/481319-83</t>
  </si>
  <si>
    <t>hi@volantaerotech.com</t>
  </si>
  <si>
    <t>2026-05-29 23:35:35.218533+00</t>
  </si>
  <si>
    <t>pace-4</t>
  </si>
  <si>
    <t>pace-0058</t>
  </si>
  <si>
    <t>Pace</t>
  </si>
  <si>
    <t>Pace is an AI operations partner for insurers that builds AI agents to automate back-office insurance tasks.</t>
  </si>
  <si>
    <t>withpace.com</t>
  </si>
  <si>
    <t>pace-com</t>
  </si>
  <si>
    <t>https://x.com/pacecom</t>
  </si>
  <si>
    <t>2026-01-28 02:22:00.058817+00</t>
  </si>
  <si>
    <t>2026-05-29 23:35:35.213833+00</t>
  </si>
  <si>
    <t>mykor</t>
  </si>
  <si>
    <t>Mykor</t>
  </si>
  <si>
    <t>Mykor is a UK biotechnology company that develops low-carbon construction materials from industrial and agricultural waste using engineered mycelium and biofabrication processes.</t>
  </si>
  <si>
    <t>Bristol, Bristol, City of, United Kingdom, Europe</t>
  </si>
  <si>
    <t>mykor.co.uk</t>
  </si>
  <si>
    <t>https://pitchbook.com/profiles/company/519292-72</t>
  </si>
  <si>
    <t>info@mykor.co.uk</t>
  </si>
  <si>
    <t>2026-05-29 23:35:35.212284+00</t>
  </si>
  <si>
    <t>mindmaze</t>
  </si>
  <si>
    <t>MindMaze</t>
  </si>
  <si>
    <t>Mindmaze Therapeutics is a Lausanne-based biotech company.</t>
  </si>
  <si>
    <t>Lausanne, Vaud, Switzerland, Europe</t>
  </si>
  <si>
    <t>public</t>
  </si>
  <si>
    <t>mindmaze.com</t>
  </si>
  <si>
    <t>https://pitchbook.com/profiles/company/98324-20</t>
  </si>
  <si>
    <t>info@mindmaze.com</t>
  </si>
  <si>
    <t>2026-05-29 23:35:35.210096+00</t>
  </si>
  <si>
    <t>phytolon</t>
  </si>
  <si>
    <t>Phytolon</t>
  </si>
  <si>
    <t>Phytolon is a biotechnology company developing natural food colors using proprietary precision fermentation technology.</t>
  </si>
  <si>
    <t>Yoqne`am `illit, HaZafon, Israel, Asia</t>
  </si>
  <si>
    <t>phytolon.com</t>
  </si>
  <si>
    <t>https://pitchbook.com/profiles/company/243865-09</t>
  </si>
  <si>
    <t>https://x.com/phytolon</t>
  </si>
  <si>
    <t>info@phytolon.com</t>
  </si>
  <si>
    <t>+972. 073. 264. 1689</t>
  </si>
  <si>
    <t>2026-05-29 23:35:35.206553+00</t>
  </si>
  <si>
    <t>cognition</t>
  </si>
  <si>
    <t>cognition-5bd7</t>
  </si>
  <si>
    <t>Cognition</t>
  </si>
  <si>
    <t>Cognition is an AI coding startup that builds an autonomous AI software engineer called Devin.</t>
  </si>
  <si>
    <t>cognition.ai</t>
  </si>
  <si>
    <t>cognition-ai-labs</t>
  </si>
  <si>
    <t>https://pitchbook.com/profiles/company/590473-45</t>
  </si>
  <si>
    <t>https://x.com/cognition_labs</t>
  </si>
  <si>
    <t>2026-05-29 23:35:35.205551+00</t>
  </si>
  <si>
    <t>c2i-semiconductors</t>
  </si>
  <si>
    <t>C2i Semiconductors</t>
  </si>
  <si>
    <t>C2i Semiconductors builds software-defined voltage regulator platforms and modular power-delivery architectures for AI data centers.</t>
  </si>
  <si>
    <t>c2isemi.com</t>
  </si>
  <si>
    <t>https://pitchbook.com/profiles/company/707587-48</t>
  </si>
  <si>
    <t>2026-02-16 23:31:52.18717+00</t>
  </si>
  <si>
    <t>2026-05-29 23:35:35.201974+00</t>
  </si>
  <si>
    <t>atheni</t>
  </si>
  <si>
    <t>Atheni</t>
  </si>
  <si>
    <t>Atheni is an AI adoption company that builds organisational capability to use AI well through a platform, advisory services and a measurement framework.</t>
  </si>
  <si>
    <t>atheni.ai</t>
  </si>
  <si>
    <t>atheniai</t>
  </si>
  <si>
    <t>2026-05-29 23:35:35.199882+00</t>
  </si>
  <si>
    <t>orbital-materials</t>
  </si>
  <si>
    <t>Orbital Materials</t>
  </si>
  <si>
    <t>Orbital Industries is a London-based company that applies AI-driven materials discovery and engineering to design industrial hardware and data centre infrastructure.</t>
  </si>
  <si>
    <t>orbitalmaterials.com</t>
  </si>
  <si>
    <t>orbitalindustries</t>
  </si>
  <si>
    <t>https://pitchbook.com/profiles/company/515858-59</t>
  </si>
  <si>
    <t>https://x.com/orbital_ind</t>
  </si>
  <si>
    <t>info@orbitalmaterials.com</t>
  </si>
  <si>
    <t>2026-05-29 23:35:35.198944+00</t>
  </si>
  <si>
    <t>fonoa</t>
  </si>
  <si>
    <t>fonoa-technologies</t>
  </si>
  <si>
    <t>Fonoa</t>
  </si>
  <si>
    <t>Fonoa is an AI tax operating system that provides modular infrastructure for global indirect tax compliance, including tax ID validation, real-time tax determination, e-invoicing, and returns.</t>
  </si>
  <si>
    <t>fonoa.com</t>
  </si>
  <si>
    <t>https://pitchbook.com/profiles/company/436757-86</t>
  </si>
  <si>
    <t>https://twitter.com/fonoa_HQ</t>
  </si>
  <si>
    <t>info@fonoa.com</t>
  </si>
  <si>
    <t>2026-05-29 23:35:35.197291+00</t>
  </si>
  <si>
    <t>crimson</t>
  </si>
  <si>
    <t>crimson-6719</t>
  </si>
  <si>
    <t>Crimson</t>
  </si>
  <si>
    <t>Crimson is a London-based AI-powered litigation platform offering case intelligence for litigation and arbitration teams.</t>
  </si>
  <si>
    <t>crimson.law</t>
  </si>
  <si>
    <t>crimson-legaltech</t>
  </si>
  <si>
    <t>https://pitchbook.com/profiles/company/863175-43</t>
  </si>
  <si>
    <t>contact@crimson.law</t>
  </si>
  <si>
    <t>2026-05-28 16:00:44.695717+00</t>
  </si>
  <si>
    <t>2026-05-29 23:35:35.194557+00</t>
  </si>
  <si>
    <t>quanscient</t>
  </si>
  <si>
    <t>Quanscient</t>
  </si>
  <si>
    <t>Quanscient is a Finnish company providing cloud-based multiphysics simulation technology and quantum algorithms to support AI-driven hardware engineering.</t>
  </si>
  <si>
    <t>quanscient.com</t>
  </si>
  <si>
    <t>https://pitchbook.com/profiles/company/523360-72</t>
  </si>
  <si>
    <t>https://x.com/quanscient</t>
  </si>
  <si>
    <t>info@quanscient.com</t>
  </si>
  <si>
    <t>+358 408388006</t>
  </si>
  <si>
    <t>2026-05-29 23:35:35.193646+00</t>
  </si>
  <si>
    <t>nala-2</t>
  </si>
  <si>
    <t>nala-money</t>
  </si>
  <si>
    <t>Nala</t>
  </si>
  <si>
    <t>Nala is a NYC-based developer of global stablecoin payments infrastructure offering a consumer neobank app and a B2B payments API called Rafiki.</t>
  </si>
  <si>
    <t>Hoboken, New Jersey, United States, North America</t>
  </si>
  <si>
    <t>nala.com</t>
  </si>
  <si>
    <t>nalamoney</t>
  </si>
  <si>
    <t>https://pitchbook.com/profiles/company/226198-36</t>
  </si>
  <si>
    <t>https://x.com/nalamoney</t>
  </si>
  <si>
    <t>mamanala@nala.money</t>
  </si>
  <si>
    <t>2026-05-29 23:35:35.190813+00</t>
  </si>
  <si>
    <t>afresh</t>
  </si>
  <si>
    <t>afresh-technologies</t>
  </si>
  <si>
    <t>Afresh</t>
  </si>
  <si>
    <t>Afresh is an AI platform for grocery that helps retailers optimize ordering, merchandising, and supply chain decisions to reduce waste and improve margins.</t>
  </si>
  <si>
    <t>Oakland, California, United States, North America</t>
  </si>
  <si>
    <t>afresh.com</t>
  </si>
  <si>
    <t>afreshtechnologies</t>
  </si>
  <si>
    <t>https://pitchbook.com/profiles/company/230562-46</t>
  </si>
  <si>
    <t>https://twitter.com/afreshai</t>
  </si>
  <si>
    <t>hello@afresh.com</t>
  </si>
  <si>
    <t>+1 415 651 5068</t>
  </si>
  <si>
    <t>2026-05-29 23:35:35.187205+00</t>
  </si>
  <si>
    <t>alpa</t>
  </si>
  <si>
    <t>Alpa</t>
  </si>
  <si>
    <t>Alpa provides restaurant operators with a real-time financial platform that delivers continuous visibility into margins and profitability.</t>
  </si>
  <si>
    <t>getalpa.com</t>
  </si>
  <si>
    <t>getalpa</t>
  </si>
  <si>
    <t>2026-02-26 13:00:38.429325+00</t>
  </si>
  <si>
    <t>2026-05-29 23:35:35.185632+00</t>
  </si>
  <si>
    <t>eazzy</t>
  </si>
  <si>
    <t>eazzy-c18a</t>
  </si>
  <si>
    <t>Eazzy</t>
  </si>
  <si>
    <t>Eazzy is a home services and appliance lifecycle management platform that connects households with trained professionals for installation, maintenance, repair, resale, and buyback services.</t>
  </si>
  <si>
    <t>Gurgaon, Haryana, India, Asia</t>
  </si>
  <si>
    <t>eazzy.in</t>
  </si>
  <si>
    <t>eazzyindia</t>
  </si>
  <si>
    <t>2026-05-29 23:35:35.181657+00</t>
  </si>
  <si>
    <t>perceptic</t>
  </si>
  <si>
    <t>Perceptic</t>
  </si>
  <si>
    <t>Perceptic is a startup building an end-to-end AI platform for drug development that automates workflows from discovery through clinical trial design.</t>
  </si>
  <si>
    <t>perceptic.com</t>
  </si>
  <si>
    <t>2026-05-29 23:35:35.180659+00</t>
  </si>
  <si>
    <t>avrea</t>
  </si>
  <si>
    <t>Avrea</t>
  </si>
  <si>
    <t>Avrea is a modern Continuous Integration (CI) platform built for the agentic AI era of software development.</t>
  </si>
  <si>
    <t>Helsinki, Southern Finland, Finland, Europe</t>
  </si>
  <si>
    <t>avrea.com</t>
  </si>
  <si>
    <t>avreacom</t>
  </si>
  <si>
    <t>https://x.com/avreacom</t>
  </si>
  <si>
    <t>2026-05-26 11:00:29.877852+00</t>
  </si>
  <si>
    <t>2026-05-29 23:35:35.178326+00</t>
  </si>
  <si>
    <t>mozart</t>
  </si>
  <si>
    <t>mozart-fintech</t>
  </si>
  <si>
    <t>Mozart</t>
  </si>
  <si>
    <t>Mozart is a conversational AI platform that helps companies recover debt via virtual agents that negotiate with debtors in real time.</t>
  </si>
  <si>
    <t>Montevideo, NA - Uruguay, Uruguay, South America</t>
  </si>
  <si>
    <t>mozarth.com</t>
  </si>
  <si>
    <t>mozartfintech</t>
  </si>
  <si>
    <t>info@mozartfintech.com</t>
  </si>
  <si>
    <t>+598 91 317963</t>
  </si>
  <si>
    <t>2026-05-21 05:00:39.699626+00</t>
  </si>
  <si>
    <t>2026-05-29 23:35:35.174148+00</t>
  </si>
  <si>
    <t>ono</t>
  </si>
  <si>
    <t>ono-055c</t>
  </si>
  <si>
    <t>ONO</t>
  </si>
  <si>
    <t>ONO is an agri-finance startup that builds a data- and AI-led platform for post-harvest agriculture supply chains and lending for Agri‚ÄëSMEs.</t>
  </si>
  <si>
    <t>ono.ag</t>
  </si>
  <si>
    <t>onoark</t>
  </si>
  <si>
    <t>https://pitchbook.com/profiles/company/568550-80</t>
  </si>
  <si>
    <t>https://x.com/onoark</t>
  </si>
  <si>
    <t>rama@ono.ag</t>
  </si>
  <si>
    <t>+91 9606060398</t>
  </si>
  <si>
    <t>2026-05-29 23:35:35.173217+00</t>
  </si>
  <si>
    <t>zerodrag</t>
  </si>
  <si>
    <t>droneadda</t>
  </si>
  <si>
    <t>ZERODRAG</t>
  </si>
  <si>
    <t>ZERODRAG is a Nagpur-based startup building indigenous UAV avionics and drone sub-components for defence, agriculture, logistics, and industrial applications.</t>
  </si>
  <si>
    <t>Delhi, Delhi, India, Asia</t>
  </si>
  <si>
    <t>zerodrag.in</t>
  </si>
  <si>
    <t>https://pitchbook.com/profiles/company/616623-13</t>
  </si>
  <si>
    <t>2026-05-28 13:00:29.489586+00</t>
  </si>
  <si>
    <t>2026-05-29 23:35:35.171711+00</t>
  </si>
  <si>
    <t>nanostruct</t>
  </si>
  <si>
    <t>NanoStruct</t>
  </si>
  <si>
    <t>NanoStruct is a German deeptech startup that develops nanostructured sensor chips combining nanotechnology, optical sensing, biotechnology and machine learning to rapidly identify dangerous pathogens in food.</t>
  </si>
  <si>
    <t>nanostruct.eu</t>
  </si>
  <si>
    <t>https://pitchbook.com/profiles/company/498210-76</t>
  </si>
  <si>
    <t>2026-05-11 12:00:38.722868+00</t>
  </si>
  <si>
    <t>2026-05-29 23:35:35.167868+00</t>
  </si>
  <si>
    <t>didit-1</t>
  </si>
  <si>
    <t>didit-24e5</t>
  </si>
  <si>
    <t>Didit</t>
  </si>
  <si>
    <t>Didit is an identity and fraud-prevention infrastructure platform offering an API for identity, organization, transaction and digital wallet verification.</t>
  </si>
  <si>
    <t>didit.me</t>
  </si>
  <si>
    <t>diditprotocol</t>
  </si>
  <si>
    <t>https://pitchbook.com/profiles/company/599848-30</t>
  </si>
  <si>
    <t>hector@didit.me</t>
  </si>
  <si>
    <t>2026-05-26 15:00:45.354677+00</t>
  </si>
  <si>
    <t>2026-05-29 23:35:35.166862+00</t>
  </si>
  <si>
    <t>airis-labs</t>
  </si>
  <si>
    <t>Airis Labs</t>
  </si>
  <si>
    <t>Airis Labs is an AI defense technology company that transforms unstructured visual data from drones, smartphones, CCTV, body cameras and social media into structured, mission-ready intelligence for government and public safety customers.</t>
  </si>
  <si>
    <t>airis-labs.com</t>
  </si>
  <si>
    <t>airislabs</t>
  </si>
  <si>
    <t>2026-05-29 23:35:35.165253+00</t>
  </si>
  <si>
    <t>2025-07-25 03:17:43.585147+00</t>
  </si>
  <si>
    <t>2026-05-29 11:00:40.075313+00</t>
  </si>
  <si>
    <t>2025-07-26 19:37:12.976166+00</t>
  </si>
  <si>
    <t>2026-05-20 17:00:42.691516+00</t>
  </si>
  <si>
    <t>Arc</t>
  </si>
  <si>
    <t>Bengaluru, Karnataka, India, Asia</t>
  </si>
  <si>
    <t>Tokyo, Tokyo, Japan, Asia</t>
  </si>
  <si>
    <t>Beijing, Beijing, China, Asia</t>
  </si>
  <si>
    <t>2026-03-11 03:12:32.126534+00</t>
  </si>
  <si>
    <t>Austin, Texas, United States, North America</t>
  </si>
  <si>
    <t>Santiago, Region Metropolitana, Chile, South America</t>
  </si>
  <si>
    <t>San Jose, California, United States, North America</t>
  </si>
  <si>
    <t>2026-05-26 12:00:41.84153+00</t>
  </si>
  <si>
    <t>Antwerp, Antwerpen, Belgium, Europe</t>
  </si>
  <si>
    <t>2026-05-26 13:00:50.889506+00</t>
  </si>
  <si>
    <t>Cambridge, Massachusetts, United States, North America</t>
  </si>
  <si>
    <t>2026-05-25 15:00:34.329635+00</t>
  </si>
  <si>
    <t>hark-ff57</t>
  </si>
  <si>
    <t>Hark</t>
  </si>
  <si>
    <t>hark.com</t>
  </si>
  <si>
    <t>hark-ai</t>
  </si>
  <si>
    <t>2026-05-22 11:00:39.300967+00</t>
  </si>
  <si>
    <t>2026-05-04 12:00:42.89275+00</t>
  </si>
  <si>
    <t>2026-05-03 23:02:43.03928+00</t>
  </si>
  <si>
    <t>2026-05-25 11:00:40.526268+00</t>
  </si>
  <si>
    <t>2026-05-18 10:00:39.282987+00</t>
  </si>
  <si>
    <t>zen-intelligence</t>
  </si>
  <si>
    <t>softroid</t>
  </si>
  <si>
    <t>Zen Intelligence</t>
  </si>
  <si>
    <t>Zen Intelligence is a Tokyo-based company developing physical AI agents aimed at enabling unmanned construction sites.</t>
  </si>
  <si>
    <t>Toranomon, Tokyo, Japan, Asia</t>
  </si>
  <si>
    <t>zen-intelligence.ai</t>
  </si>
  <si>
    <t>zenintel</t>
  </si>
  <si>
    <t>https://pitchbook.com/profiles/company/509033-98</t>
  </si>
  <si>
    <t>2025-09-25 21:53:44.569804+00</t>
  </si>
  <si>
    <t>2026-05-29 13:25:01.364041+00</t>
  </si>
  <si>
    <t>qureka</t>
  </si>
  <si>
    <t>Qureka</t>
  </si>
  <si>
    <t>Qureka is a Tokyo-based startup that develops Bookleverage, a generative AI-powered book Q&amp;A platform for natural-language interaction with book content.</t>
  </si>
  <si>
    <t>qureka.jp</t>
  </si>
  <si>
    <t>https://pitchbook.com/profiles/company/1318866-85</t>
  </si>
  <si>
    <t>2026-05-29 13:25:01.286638+00</t>
  </si>
  <si>
    <t>bergner-india</t>
  </si>
  <si>
    <t>Bergner India</t>
  </si>
  <si>
    <t>Bergner India is a kitchen cookware brand specializing in premium stainless-steel cookware, known for its MasterChef India association, now seeking funding to expand its online reach and retail footprint.</t>
  </si>
  <si>
    <t>bergnerhome.in</t>
  </si>
  <si>
    <t>bergner-impex-india-private-limited</t>
  </si>
  <si>
    <t>https://pitchbook.com/profiles/company/184113-82</t>
  </si>
  <si>
    <t>2026-05-29 13:25:01.209744+00</t>
  </si>
  <si>
    <t>chance-ai</t>
  </si>
  <si>
    <t>Chance AI</t>
  </si>
  <si>
    <t>Chance AI builds camera-centric AI software that explains what users see by providing cultural and historical context.</t>
  </si>
  <si>
    <t>chance.vision</t>
  </si>
  <si>
    <t>chancevision</t>
  </si>
  <si>
    <t>https://pitchbook.com/profiles/company/1161346-78</t>
  </si>
  <si>
    <t>info@chance.vision</t>
  </si>
  <si>
    <t>2026-05-02 12:00:34.465733+00</t>
  </si>
  <si>
    <t>2026-05-29 13:25:00.908823+00</t>
  </si>
  <si>
    <t>coastal-measures</t>
  </si>
  <si>
    <t>Coastal Measures</t>
  </si>
  <si>
    <t>Coastal Measures is a Kittery, Maine-based company that uses an AI platform to integrate, standardize, and analyze fragmented coastal sensor data.</t>
  </si>
  <si>
    <t>coastalmeasures.com</t>
  </si>
  <si>
    <t>coastalmeasures</t>
  </si>
  <si>
    <t>https://pitchbook.com/profiles/company/615946-78</t>
  </si>
  <si>
    <t>2026-04-06 23:03:43.283842+00</t>
  </si>
  <si>
    <t>2026-05-29 13:07:45.354674+00</t>
  </si>
  <si>
    <t>modal-labs</t>
  </si>
  <si>
    <t>Modal Labs</t>
  </si>
  <si>
    <t>Modal is an AI-native cloud compute and serverless container platform for complex AI workloads.</t>
  </si>
  <si>
    <t>modal.com</t>
  </si>
  <si>
    <t>https://pitchbook.com/profiles/company/504100-09</t>
  </si>
  <si>
    <t>support@modal.com</t>
  </si>
  <si>
    <t>2026-05-29 12:27:06.85+00</t>
  </si>
  <si>
    <t>kopa-ai</t>
  </si>
  <si>
    <t>Kopa.ai</t>
  </si>
  <si>
    <t>Kopa.ai builds agentic AI software that automates operational and analytical tasks for e-commerce teams across marketing, inventory, campaigns and storefront management.</t>
  </si>
  <si>
    <t>Vilnius, Vilniaus Apskritis, Lithuania, Europe</t>
  </si>
  <si>
    <t>kopa.ai</t>
  </si>
  <si>
    <t>https://pitchbook.com/profiles/company/1233845-47</t>
  </si>
  <si>
    <t>https://x.com/kopa_ai</t>
  </si>
  <si>
    <t>support@kopa.ai</t>
  </si>
  <si>
    <t>2026-05-29 12:27:02.533459+00</t>
  </si>
  <si>
    <t>superior-trade</t>
  </si>
  <si>
    <t>Superior.Trade</t>
  </si>
  <si>
    <t>Superior.Trade is an AI agent infrastructure platform built on Minds that focuses on on-chain news and blockchain infrastructure development.</t>
  </si>
  <si>
    <t>superior.trade</t>
  </si>
  <si>
    <t>https://pitchbook.com/profiles/company/1380785-32</t>
  </si>
  <si>
    <t>2026-05-29 12:27:01.945493+00</t>
  </si>
  <si>
    <t>reprogram-biosciences</t>
  </si>
  <si>
    <t>Reprogram Biosciences</t>
  </si>
  <si>
    <t>Reprogram Biosciences is a preclinical oncology biotechnology company developing mRNA-based therapeutics that reprogram tumor cells to activate the immune system.</t>
  </si>
  <si>
    <t>reprogrambio.com</t>
  </si>
  <si>
    <t>https://pitchbook.com/profiles/company/844666-75</t>
  </si>
  <si>
    <t>info@reprogrambio.com</t>
  </si>
  <si>
    <t>+1 9292456645</t>
  </si>
  <si>
    <t>2026-05-29 12:27:01.874813+00</t>
  </si>
  <si>
    <t>navigateai</t>
  </si>
  <si>
    <t>NavigateAI</t>
  </si>
  <si>
    <t>NavigateAI is a San Francisco-based provider of an AI copilot service supporting field workers, contractors, and tradespeople.</t>
  </si>
  <si>
    <t>navigate.ai</t>
  </si>
  <si>
    <t>navigatehq</t>
  </si>
  <si>
    <t>https://pitchbook.com/profiles/company/742026-79</t>
  </si>
  <si>
    <t>2026-05-29 12:27:01.811747+00</t>
  </si>
  <si>
    <t>deeptree</t>
  </si>
  <si>
    <t>DeepTree</t>
  </si>
  <si>
    <t>DeepTree is a Milan-based developer of an AI-driven market intelligence platform for the private capital sectors.</t>
  </si>
  <si>
    <t>deeptreeai.com</t>
  </si>
  <si>
    <t>deeptreeai</t>
  </si>
  <si>
    <t>2026-05-29 12:27:01.557686+00</t>
  </si>
  <si>
    <t>buysellstandard</t>
  </si>
  <si>
    <t>BuySellStandard</t>
  </si>
  <si>
    <t>BuySellStandard operates PIECE, a token-securities (STO) platform for creating and distributing tokenized investment products.</t>
  </si>
  <si>
    <t>2026-05-29 12:27:01.486882+00</t>
  </si>
  <si>
    <t>spike-2</t>
  </si>
  <si>
    <t>spike-sa</t>
  </si>
  <si>
    <t>Spike</t>
  </si>
  <si>
    <t>Spike is a Chilean startup whose founders were acquired by Bain &amp; Company in 2022 and who have launched a new AI company focused on mining and industry.</t>
  </si>
  <si>
    <t>spikelab.xyz</t>
  </si>
  <si>
    <t>spike-analytics</t>
  </si>
  <si>
    <t>2026-05-29 12:27:01.158496+00</t>
  </si>
  <si>
    <t>furientis</t>
  </si>
  <si>
    <t>Furientis</t>
  </si>
  <si>
    <t>Furientis is a defense technology company building cost-effective ship-based interceptor systems designed for high-volume production and reliability.</t>
  </si>
  <si>
    <t>furientis.com</t>
  </si>
  <si>
    <t>https://pitchbook.com/profiles/company/894465-28</t>
  </si>
  <si>
    <t>https://x.com/Furientis</t>
  </si>
  <si>
    <t>contact@furientis.com</t>
  </si>
  <si>
    <t>2026-05-29 12:27:00.900099+00</t>
  </si>
  <si>
    <t>peekabox</t>
  </si>
  <si>
    <t>Peekabox</t>
  </si>
  <si>
    <t>closed</t>
  </si>
  <si>
    <t>Peekabox is a UAE-based surplus food marketplace that enables restaurants, cafes, bakeries and grocery stores to sell surplus freshly prepared food at 50‚Äì70% discounts through app-based "surprise box" reservations.</t>
  </si>
  <si>
    <t>peekabox.co</t>
  </si>
  <si>
    <t>https://pitchbook.com/profiles/company/1380829-87</t>
  </si>
  <si>
    <t>hello@peekabox.net</t>
  </si>
  <si>
    <t>2026-05-18 05:00:32.234348+00</t>
  </si>
  <si>
    <t>2026-05-29 12:27:00.639823+00</t>
  </si>
  <si>
    <t>cigno</t>
  </si>
  <si>
    <t>Cigno</t>
  </si>
  <si>
    <t>Cigno is a Geneva-based startup that automates the end-to-end consulting workflow using a proprietary reasoning model and specialized agents.</t>
  </si>
  <si>
    <t>cignoai.com</t>
  </si>
  <si>
    <t>cignoai</t>
  </si>
  <si>
    <t>2026-05-29 12:27:00.574458+00</t>
  </si>
  <si>
    <t>lawx</t>
  </si>
  <si>
    <t>lawx-51d0</t>
  </si>
  <si>
    <t>LawX</t>
  </si>
  <si>
    <t>LawX is a Berlin-based legaltech building an AI-driven platform that automates operational workflows for law firms and notaries.</t>
  </si>
  <si>
    <t>lawx.de</t>
  </si>
  <si>
    <t>lawx-legal</t>
  </si>
  <si>
    <t>https://pitchbook.com/profiles/company/769727-44</t>
  </si>
  <si>
    <t>2026-05-29 12:27:00.311276+00</t>
  </si>
  <si>
    <t>ninamed</t>
  </si>
  <si>
    <t>NinaMED</t>
  </si>
  <si>
    <t>NinaMED is a Melbourne-based medical device company developing and commercialising the NiNA System, a drug-free, noninvasive at-home therapy for overactive bladder.</t>
  </si>
  <si>
    <t>meetninamed.com</t>
  </si>
  <si>
    <t>https://pitchbook.com/profiles/company/1394431-30</t>
  </si>
  <si>
    <t>2026-05-29 12:27:00.23065+00</t>
  </si>
  <si>
    <t>cimento-ai</t>
  </si>
  <si>
    <t>Cimento AI</t>
  </si>
  <si>
    <t>Cimento AI is a human risk management platform that builds living risk profiles for every employee.</t>
  </si>
  <si>
    <t>cimento.ai</t>
  </si>
  <si>
    <t>https://pitchbook.com/profiles/company/894555-55</t>
  </si>
  <si>
    <t>https://x.com/cimentoai</t>
  </si>
  <si>
    <t>2026-05-29 12:27:00.127898+00</t>
  </si>
  <si>
    <t>enter-1</t>
  </si>
  <si>
    <t>talisman-ai</t>
  </si>
  <si>
    <t>Enter</t>
  </si>
  <si>
    <t>Enter is a startup that uses artificial intelligence to structure large-scale legal strategies and automate corporate litigation.</t>
  </si>
  <si>
    <t>getenter.ai</t>
  </si>
  <si>
    <t>getenter</t>
  </si>
  <si>
    <t>https://pitchbook.com/profiles/company/550879-39</t>
  </si>
  <si>
    <t>2025-09-29 12:30:30.611738+00</t>
  </si>
  <si>
    <t>2026-05-29 12:06:01.700181+00</t>
  </si>
  <si>
    <t>invertix</t>
  </si>
  <si>
    <t>Invertix</t>
  </si>
  <si>
    <t>Invertix is an AI software company that builds autonomous AI systems for monitoring and managing renewable energy assets such as solar, wind, and battery storage.</t>
  </si>
  <si>
    <t>invertix.ai</t>
  </si>
  <si>
    <t>2026-05-19 10:00:44.882667+00</t>
  </si>
  <si>
    <t>2026-05-29 12:05:44.922868+00</t>
  </si>
  <si>
    <t>lighttable</t>
  </si>
  <si>
    <t>lighttable-c094</t>
  </si>
  <si>
    <t>LightTable</t>
  </si>
  <si>
    <t>LightTable uses AI to analyze design and engineering PDFs, producing coordinated constructability, MEP, accessibility and fire-safety reviews and flagging issues that could cause construction delays or change orders.</t>
  </si>
  <si>
    <t>Denver, Colorado, United States, North America</t>
  </si>
  <si>
    <t>lighttable.ai</t>
  </si>
  <si>
    <t>lighttable-ai</t>
  </si>
  <si>
    <t>https://pitchbook.com/profiles/company/937304-29</t>
  </si>
  <si>
    <t>2025-09-03 13:30:31.702067+00</t>
  </si>
  <si>
    <t>2026-05-29 12:05:44.922565+00</t>
  </si>
  <si>
    <t>earsmartai</t>
  </si>
  <si>
    <t>EarSmartAI</t>
  </si>
  <si>
    <t>EarSmartAI is developing an AI-powered connected care platform that combines a smart otoscope, proprietary software, and a mobile app to enable at-home pediatric ear infection diagnostics.</t>
  </si>
  <si>
    <t>earsmartai.com</t>
  </si>
  <si>
    <t>https://pitchbook.com/profiles/company/864270-01</t>
  </si>
  <si>
    <t>2026-05-21 23:02:15.08542+00</t>
  </si>
  <si>
    <t>2026-05-29 12:05:44.920966+00</t>
  </si>
  <si>
    <t>garland-surgical</t>
  </si>
  <si>
    <t>Garland Surgical</t>
  </si>
  <si>
    <t>Garland Surgical Ltd is a UK-based orthopaedic medical device company developing the TriActiv Hip, a next-generation triaxial total hip replacement system.</t>
  </si>
  <si>
    <t>Worcester, Worcestershire, United Kingdom, Europe</t>
  </si>
  <si>
    <t>garlandsurgical.health</t>
  </si>
  <si>
    <t>garlandsurgical</t>
  </si>
  <si>
    <t>https://pitchbook.com/profiles/company/519796-99</t>
  </si>
  <si>
    <t>info@garlandsurgival.health</t>
  </si>
  <si>
    <t>+44 7971 154703</t>
  </si>
  <si>
    <t>2026-05-20 00:09:50.169726+00</t>
  </si>
  <si>
    <t>2026-05-29 11:40:43.540995+00</t>
  </si>
  <si>
    <t>august-robotics</t>
  </si>
  <si>
    <t>August Robotics</t>
  </si>
  <si>
    <t>August Robotics is a Hong Kong-based company that develops modular autonomous robotics platforms for construction and industrial applications.</t>
  </si>
  <si>
    <t>Sha Tin, New Territories, Hong Kong, Asia</t>
  </si>
  <si>
    <t>augustrobotics.com</t>
  </si>
  <si>
    <t>https://pitchbook.com/profiles/company/230005-45</t>
  </si>
  <si>
    <t>https://x.com/AugustRobotics</t>
  </si>
  <si>
    <t>info@augustrobotics.com</t>
  </si>
  <si>
    <t>2026-05-29 11:35:36.845308+00</t>
  </si>
  <si>
    <t>graveclean</t>
  </si>
  <si>
    <t>GraveClean</t>
  </si>
  <si>
    <t>GraveClean is a UK company providing professional memorial and headstone cleaning and restoration services.</t>
  </si>
  <si>
    <t>graveclean.co.uk</t>
  </si>
  <si>
    <t>2026-05-29 11:35:28.929935+00</t>
  </si>
  <si>
    <t>co2-recycling-startup</t>
  </si>
  <si>
    <t>CO2 recycling startup</t>
  </si>
  <si>
    <t>CO2 recycling startup is a Belgian company that recycles carbon dioxide into usable products.</t>
  </si>
  <si>
    <t>2026-05-29 11:35:28.860183+00</t>
  </si>
  <si>
    <t>aizoulu</t>
  </si>
  <si>
    <t>Aizoulu</t>
  </si>
  <si>
    <t>Aizoulu is a Chinese AI health startup that develops an AI-powered health watch and platform to collect and analyze walking data and incentivize healthy behavior.</t>
  </si>
  <si>
    <t>aizolo.com</t>
  </si>
  <si>
    <t>aizolo</t>
  </si>
  <si>
    <t>https://x.com/realaizolo</t>
  </si>
  <si>
    <t>2026-05-29 11:35:28.790476+00</t>
  </si>
  <si>
    <t>metafare</t>
  </si>
  <si>
    <t>Metafare</t>
  </si>
  <si>
    <t>Metafare is a Saudi lifestyle platform that merges immersive virtual and augmented reality fitness experiences with AI-driven behavioral models to deliver personalized wellness.</t>
  </si>
  <si>
    <t>metafare.sa</t>
  </si>
  <si>
    <t>2026-05-29 11:35:28.456114+00</t>
  </si>
  <si>
    <t>atomu</t>
  </si>
  <si>
    <t>atom-humanoid</t>
  </si>
  <si>
    <t>„Ç¢„Éà„É†</t>
  </si>
  <si>
    <t>„Ç¢„Éà„É†„ÅØÂèåËÖï‰∫åË∂≥„ÅÆ„Éí„É•„Éº„Éû„Éé„Ç§„ÉâAI„É≠„Éú„ÉÉ„Éà„ÅÆÈñãÁô∫„ÇíË°å„ÅÜ„Çπ„Çø„Éº„Éà„Ç¢„ÉÉ„Éó„Åß„ÅÇ„Çã„ÄÇ</t>
  </si>
  <si>
    <t>Koto, Tokyo, Japan, Asia</t>
  </si>
  <si>
    <t>atom-humanoid.com</t>
  </si>
  <si>
    <t>info@atom-humanoid.com</t>
  </si>
  <si>
    <t>2026-05-29 11:35:28.393397+00</t>
  </si>
  <si>
    <t>zhong-ke-di-wu-ji</t>
  </si>
  <si>
    <t>zhongke-fifth-era</t>
  </si>
  <si>
    <t>‰∏≠ÁßëÁ¨¨‰∫îÁ∫™</t>
  </si>
  <si>
    <t>‰∏≠ÁßëÁ¨¨‰∫îÁ∫™ is a company developing large AI models, world models, reinforcement learning engineering, and robotic products.</t>
  </si>
  <si>
    <t>2026-05-29 11:35:28.324194+00</t>
  </si>
  <si>
    <t>integrated-rewards</t>
  </si>
  <si>
    <t>Integrated Rewards</t>
  </si>
  <si>
    <t>Integrated Rewards is a card-linked rewards platform that partners with financial institutions and card networks to deliver loyalty offers.</t>
  </si>
  <si>
    <t>integratedrewards.ca</t>
  </si>
  <si>
    <t>integratedrewards</t>
  </si>
  <si>
    <t>https://pitchbook.com/profiles/company/469527-31</t>
  </si>
  <si>
    <t>2026-05-29 11:35:27.929043+00</t>
  </si>
  <si>
    <t>sond</t>
  </si>
  <si>
    <t>SOND</t>
  </si>
  <si>
    <t>SOND is a Boston-based sleep tech startup building Dreambuds, a closed-loop in-ear system that captures physiological signals and uses a cloud-based AI sleep coach to improve sleep.</t>
  </si>
  <si>
    <t>sond.com</t>
  </si>
  <si>
    <t>sondsleep</t>
  </si>
  <si>
    <t>https://pitchbook.com/profiles/company/592551-64</t>
  </si>
  <si>
    <t>2026-05-29 11:35:27.858913+00</t>
  </si>
  <si>
    <t>escala-1</t>
  </si>
  <si>
    <t>Escala</t>
  </si>
  <si>
    <t>Escala (Escala Medical) is an Israeli femtech company developing Mendit, a minimally invasive suture-based device to repair pelvic organ prolapse.</t>
  </si>
  <si>
    <t>escalamedical.com</t>
  </si>
  <si>
    <t>escala-medical</t>
  </si>
  <si>
    <t>https://pitchbook.com/profiles/company/159031-18</t>
  </si>
  <si>
    <t>2026-05-17 23:02:10.482287+00</t>
  </si>
  <si>
    <t>2026-05-29 11:35:27.652355+00</t>
  </si>
  <si>
    <t>inherent</t>
  </si>
  <si>
    <t>Inherent</t>
  </si>
  <si>
    <t>Inherent is a London-based AI lab building Faraday, an AI system intended to enable humans and self-improving AI to work together on scientific discovery.</t>
  </si>
  <si>
    <t>inherentlabs.ai</t>
  </si>
  <si>
    <t>2026-05-29 11:35:27.323504+00</t>
  </si>
  <si>
    <t>byron</t>
  </si>
  <si>
    <t>byron-0641</t>
  </si>
  <si>
    <t>Byron</t>
  </si>
  <si>
    <t>Byron is an AI-enabled tax platform that automates business tax preparation workflows for CPA firms.</t>
  </si>
  <si>
    <t>usebyron.com</t>
  </si>
  <si>
    <t>usebyron</t>
  </si>
  <si>
    <t>2026-05-29 11:35:27.011607+00</t>
  </si>
  <si>
    <t>tegy</t>
  </si>
  <si>
    <t>freight-load-board-by-tegy</t>
  </si>
  <si>
    <t>Tegy</t>
  </si>
  <si>
    <t>Tegy is a freight load board and tracking software system that connects shippers, brokers, and carriers.</t>
  </si>
  <si>
    <t>tegyinc.com</t>
  </si>
  <si>
    <t>tegyinc</t>
  </si>
  <si>
    <t>web@tegyinc.com</t>
  </si>
  <si>
    <t>(877) 265-8349</t>
  </si>
  <si>
    <t>2026-05-29 11:35:26.368751+00</t>
  </si>
  <si>
    <t>suncharge-motors</t>
  </si>
  <si>
    <t>SunCharge Motors</t>
  </si>
  <si>
    <t>SunCharge Motors is a startup developing solar-integrated electric vehicle mobility solutions.</t>
  </si>
  <si>
    <t>Pune, Maharashtra, India, Asia</t>
  </si>
  <si>
    <t>sunchargemotors.com</t>
  </si>
  <si>
    <t>team@sunchargemotors.com</t>
  </si>
  <si>
    <t>2026-05-29 11:35:25.980062+00</t>
  </si>
  <si>
    <t>cypher-ai</t>
  </si>
  <si>
    <t>Cypher AI</t>
  </si>
  <si>
    <t>Cypher AI is an AI-native digital infrastructure company that unifies experiment design, execution, analysis, and vendor coordination for life science R&amp;D.</t>
  </si>
  <si>
    <t>cypherbio.ai</t>
  </si>
  <si>
    <t>cypherbio</t>
  </si>
  <si>
    <t>https://pitchbook.com/profiles/company/895376-35</t>
  </si>
  <si>
    <t>2026-05-29 11:35:25.582473+00</t>
  </si>
  <si>
    <t>nofire-ai</t>
  </si>
  <si>
    <t>NOFire AI</t>
  </si>
  <si>
    <t>NOFire AI is an AI-driven 'self-driving pilot' for IT infrastructure that maps system dependencies from existing telemetry to pinpoint root causes of outages.</t>
  </si>
  <si>
    <t>nofire.ai</t>
  </si>
  <si>
    <t>https://pitchbook.com/profiles/company/1404884-71</t>
  </si>
  <si>
    <t>info@nofire.ai</t>
  </si>
  <si>
    <t>2026-05-28 21:00:30.707749+00</t>
  </si>
  <si>
    <t>2026-05-29 11:35:25.268348+00</t>
  </si>
  <si>
    <t>motif-technologies</t>
  </si>
  <si>
    <t>Motif Technologies</t>
  </si>
  <si>
    <t>Motif Technologies is an AI deep tech company developing proprietary large-scale foundation models and enterprise AI transformation (AX) solutions.</t>
  </si>
  <si>
    <t>motiftech.io</t>
  </si>
  <si>
    <t>2026-05-29 11:35:25.198027+00</t>
  </si>
  <si>
    <t>blue-bridge</t>
  </si>
  <si>
    <t>blue-bridge-people</t>
  </si>
  <si>
    <t>Blue Bridge People</t>
  </si>
  <si>
    <t>Blue Bridge is a Blue Ash-based recruiting startup that operates Blue Bridge People and Blue Bridge Labs.</t>
  </si>
  <si>
    <t>Cincinnati, Ohio, United States, North America</t>
  </si>
  <si>
    <t>bluebridgepeople.com</t>
  </si>
  <si>
    <t>bluebridgepeople</t>
  </si>
  <si>
    <t>https://pitchbook.com/profiles/company/571975-12</t>
  </si>
  <si>
    <t>+1 513 718 4030</t>
  </si>
  <si>
    <t>2026-05-29 11:35:24.307429+00</t>
  </si>
  <si>
    <t>trajectory</t>
  </si>
  <si>
    <t>trajectory-5734</t>
  </si>
  <si>
    <t>Trajectory</t>
  </si>
  <si>
    <t>Trajectory is a San Francisco-based research and product lab building a platform for continual learning that helps AI-native companies replace static models with an intelligence layer that improves with each user interaction.</t>
  </si>
  <si>
    <t>trajectory.ai</t>
  </si>
  <si>
    <t>trajectory-ai</t>
  </si>
  <si>
    <t>https://pitchbook.com/profiles/company/1393041-88</t>
  </si>
  <si>
    <t>2026-05-29 11:35:23.526319+00</t>
  </si>
  <si>
    <t>lignosphere</t>
  </si>
  <si>
    <t>LignoSphere</t>
  </si>
  <si>
    <t>LignoSphere is a Finnish biomaterials startup that converts lignin into nano-sized spheres for eco-friendly adhesives and coatings.</t>
  </si>
  <si>
    <t>Espoo, Southern Finland, Finland, Europe</t>
  </si>
  <si>
    <t>lignosphere.fi</t>
  </si>
  <si>
    <t>https://pitchbook.com/profiles/company/521257-78</t>
  </si>
  <si>
    <t>eero.knuutila@lignosphere.fi</t>
  </si>
  <si>
    <t>2026-05-29 11:35:23.193096+00</t>
  </si>
  <si>
    <t>dropsolid-ai</t>
  </si>
  <si>
    <t>Dropsolid AI</t>
  </si>
  <si>
    <t>Dropsolid AI is a spin-off that integrates sovereign AI into websites, CRM systems, email, chatbots and mobile apps for enterprises.</t>
  </si>
  <si>
    <t>dropsolid.ai</t>
  </si>
  <si>
    <t>https://pitchbook.com/profiles/company/438693-04</t>
  </si>
  <si>
    <t>2026-05-29 11:35:22.582815+00</t>
  </si>
  <si>
    <t>hd-hightech</t>
  </si>
  <si>
    <t>HD Hightech</t>
  </si>
  <si>
    <t>HD Hightech is a South Korean startup that provides AI-powered safety diagnostics for electrical distribution panels.</t>
  </si>
  <si>
    <t>2026-05-29 11:35:22.515899+00</t>
  </si>
  <si>
    <t>cdr-company</t>
  </si>
  <si>
    <t>CDR company</t>
  </si>
  <si>
    <t>CDR company is a Canadian carbon dioxide removal company working on industrial mineralisation.</t>
  </si>
  <si>
    <t>carbon-forward.com</t>
  </si>
  <si>
    <t>2026-05-29 11:35:22.444542+00</t>
  </si>
  <si>
    <t>newce</t>
  </si>
  <si>
    <t>Newce</t>
  </si>
  <si>
    <t>Newce is a Tokyo-based startup that creates content across app and web service development, social-media-driven IP, and generative AI-powered content production.</t>
  </si>
  <si>
    <t>https://pitchbook.com/profiles/company/1404965-44</t>
  </si>
  <si>
    <t>2026-05-29 11:35:22.374543+00</t>
  </si>
  <si>
    <t>crshmarket</t>
  </si>
  <si>
    <t>CRSHMARKET</t>
  </si>
  <si>
    <t>CRSHMARKET is a startup building a livestream prediction market where people can predict the outcome of live events in real time.</t>
  </si>
  <si>
    <t>crshmarket.com</t>
  </si>
  <si>
    <t>kupidtv</t>
  </si>
  <si>
    <t>2026-05-29 11:35:22.302317+00</t>
  </si>
  <si>
    <t>fiveages</t>
  </si>
  <si>
    <t>FIVEAGES</t>
  </si>
  <si>
    <t>FIVEAGES is a company developing embodied brains and robots with generalization capabilities using ultra-few-shot large models and world models.</t>
  </si>
  <si>
    <t>2026-05-29 11:35:22.197083+00</t>
  </si>
  <si>
    <t>wirobotics</t>
  </si>
  <si>
    <t>WIRobotics</t>
  </si>
  <si>
    <t>WIRobotics is a robotics company developing humanoid robots (ALLEX/Mobile ALLEX) and wearable walking-assist devices (WIM).</t>
  </si>
  <si>
    <t>Yongin, Ch'ungch'ong-namdo, South Korea, Asia</t>
  </si>
  <si>
    <t>wirobotics.com</t>
  </si>
  <si>
    <t>https://pitchbook.com/profiles/company/497814-31</t>
  </si>
  <si>
    <t>2026-05-29 11:12:17.672309+00</t>
  </si>
  <si>
    <t>yanhe-technology</t>
  </si>
  <si>
    <t>Yanhe Technology</t>
  </si>
  <si>
    <t>Yanhe Technology is a perovskite solar cell company developing perovskite light-energy batteries for consumer electronics and space photovoltaics.</t>
  </si>
  <si>
    <t>yanhesolar.com</t>
  </si>
  <si>
    <t>https://pitchbook.com/profiles/company/600654-97</t>
  </si>
  <si>
    <t>2026-03-21 12:00:30.344946+00</t>
  </si>
  <si>
    <t>2026-05-29 11:11:55.859018+00</t>
  </si>
  <si>
    <t>patron-points</t>
  </si>
  <si>
    <t>Patron Points</t>
  </si>
  <si>
    <t>Patron Points is a provider of loyalty and customer engagement technology solutions for the convenience store industry.</t>
  </si>
  <si>
    <t>Saint Paul, Minnesota, United States, North America</t>
  </si>
  <si>
    <t>patronpoints.com</t>
  </si>
  <si>
    <t>patronpoints</t>
  </si>
  <si>
    <t>https://pitchbook.com/profiles/company/304019-38</t>
  </si>
  <si>
    <t>cs@patronpoints.com</t>
  </si>
  <si>
    <t>877-623-6073</t>
  </si>
  <si>
    <t>2026-05-27 12:00:40.925373+00</t>
  </si>
  <si>
    <t>2026-05-29 11:11:41.821946+00</t>
  </si>
  <si>
    <t>itera</t>
  </si>
  <si>
    <t>Itera</t>
  </si>
  <si>
    <t>Itera is a San Francisco-based company that provides real-time hardware prototyping for electronics using fluid circuit technology.</t>
  </si>
  <si>
    <t>itera.co</t>
  </si>
  <si>
    <t>itera-co</t>
  </si>
  <si>
    <t>https://pitchbook.com/profiles/company/762528-97</t>
  </si>
  <si>
    <t>2026-05-29 11:11:41.820996+00</t>
  </si>
  <si>
    <t>lucis</t>
  </si>
  <si>
    <t>lucis-c75c</t>
  </si>
  <si>
    <t>Lucis</t>
  </si>
  <si>
    <t>Lucis is a preventive health platform that combines biomarker testing, longitudinal health data, and physician-reviewed AI insights to deliver personalised health guidance.</t>
  </si>
  <si>
    <t>Artannes-sur-indre, Centre, France, Europe</t>
  </si>
  <si>
    <t>lucis.life</t>
  </si>
  <si>
    <t>lucis-life</t>
  </si>
  <si>
    <t>https://pitchbook.com/profiles/company/589927-78</t>
  </si>
  <si>
    <t>founders@lucis.life</t>
  </si>
  <si>
    <t>2025-12-16 13:30:28.443938+00</t>
  </si>
  <si>
    <t>2026-05-29 11:11:41.820409+00</t>
  </si>
  <si>
    <t>sychedelic</t>
  </si>
  <si>
    <t>Sychedelic</t>
  </si>
  <si>
    <t>Sychedelic is a neurotech startup building a closed-loop neuromodulation wearable in a headphone format that combines neurostimulation, biometric tracking and adaptive AI.</t>
  </si>
  <si>
    <t>sychedelic.com</t>
  </si>
  <si>
    <t>https://x.com/Sychedelic_cult</t>
  </si>
  <si>
    <t>experience@sychedelic.com</t>
  </si>
  <si>
    <t>+91 8851614413</t>
  </si>
  <si>
    <t>2026-05-20 08:00:35.991952+00</t>
  </si>
  <si>
    <t>2026-05-29 11:11:41.813393+00</t>
  </si>
  <si>
    <t>gray-swan</t>
  </si>
  <si>
    <t>Gray Swan</t>
  </si>
  <si>
    <t>Gray Swan is an AI security company that assesses and prevents unintended or adversarial behavior in AI models and agents.</t>
  </si>
  <si>
    <t>grayswan.ai</t>
  </si>
  <si>
    <t>grayswanai</t>
  </si>
  <si>
    <t>https://pitchbook.com/profiles/company/633269-80</t>
  </si>
  <si>
    <t>https://x.com/GraySwanAI</t>
  </si>
  <si>
    <t>info@grayswan.ai</t>
  </si>
  <si>
    <t>2026-05-29 10:53:18.763049+00</t>
  </si>
  <si>
    <t>evam</t>
  </si>
  <si>
    <t>Evam</t>
  </si>
  <si>
    <t>Evam develops mission-critical software for police, ambulance and rescue services.</t>
  </si>
  <si>
    <t>Solna, Stockholms Lan, Sweden, Europe</t>
  </si>
  <si>
    <t>evam.life</t>
  </si>
  <si>
    <t>evam-he-solutions-ab</t>
  </si>
  <si>
    <t>https://pitchbook.com/profiles/company/125777-08</t>
  </si>
  <si>
    <t>hello@evam.life</t>
  </si>
  <si>
    <t>+46 0 10 209 40 90</t>
  </si>
  <si>
    <t>2026-05-29 10:52:05.228956+00</t>
  </si>
  <si>
    <t>oursky</t>
  </si>
  <si>
    <t>oursky-dad2</t>
  </si>
  <si>
    <t>OurSky</t>
  </si>
  <si>
    <t>OurSky is a space-data-application company that merged with PlaneWave Instruments in February 2025 to form Observable Space, a developer of laser communications ground stations, ground-based sensing, and in-space optical payloads.</t>
  </si>
  <si>
    <t>Santa Monica, California, United States, North America</t>
  </si>
  <si>
    <t>oursky.ai</t>
  </si>
  <si>
    <t>oursky-ai</t>
  </si>
  <si>
    <t>https://pitchbook.com/profiles/company/509208-40</t>
  </si>
  <si>
    <t>https://x.com/ourskyai</t>
  </si>
  <si>
    <t>info@observable.space</t>
  </si>
  <si>
    <t>2026-05-29 10:30:20.256882+00</t>
  </si>
  <si>
    <t>corpower-ocean</t>
  </si>
  <si>
    <t>CorPower Ocean</t>
  </si>
  <si>
    <t>CorPower Ocean is a Sweden-based company that develops ocean wave energy projects using buoys that convert wave motion into electricity.</t>
  </si>
  <si>
    <t>corpowerocean.com</t>
  </si>
  <si>
    <t>corpower-ocean-ab</t>
  </si>
  <si>
    <t>https://pitchbook.com/profiles/company/101187-37</t>
  </si>
  <si>
    <t>https://x.com/corpowerocean</t>
  </si>
  <si>
    <t>patrik.moller@corpowerocean.com</t>
  </si>
  <si>
    <t>2026-05-29 10:17:42.613355+00</t>
  </si>
  <si>
    <t>eddy-grid</t>
  </si>
  <si>
    <t>Eddy Grid</t>
  </si>
  <si>
    <t>Eddy Grid develops advanced algorithms that maximize the yields of solar, wind and battery assets through real-time optimisation on energy markets.</t>
  </si>
  <si>
    <t>Utrecht, Utrecht, The Netherlands, Europe</t>
  </si>
  <si>
    <t>eddygrid.com</t>
  </si>
  <si>
    <t>https://pitchbook.com/profiles/company/553124-08</t>
  </si>
  <si>
    <t>hello@eddygrid.com</t>
  </si>
  <si>
    <t>+31 0031 85 060 4743</t>
  </si>
  <si>
    <t>2026-05-29 09:42:35.021371+00</t>
  </si>
  <si>
    <t>countable-labs</t>
  </si>
  <si>
    <t>Countable Labs</t>
  </si>
  <si>
    <t>Countable Labs is a life sciences company developing Countable PCR, a single-molecule PCR technology for highly sensitive and precise genomic measurement.</t>
  </si>
  <si>
    <t>countablelabs.com</t>
  </si>
  <si>
    <t>countablelabs</t>
  </si>
  <si>
    <t>https://pitchbook.com/profiles/company/439088-14</t>
  </si>
  <si>
    <t>info@countablelabs.com</t>
  </si>
  <si>
    <t>+1 650 665 7953</t>
  </si>
  <si>
    <t>2026-05-29 08:56:58.238016+00</t>
  </si>
  <si>
    <t>landeed</t>
  </si>
  <si>
    <t>Landeed</t>
  </si>
  <si>
    <t>Landeed is an India-based proptech company building a comprehensive property title search engine that aggregates government data.</t>
  </si>
  <si>
    <t>Hyderabad, Telangana, India, Asia</t>
  </si>
  <si>
    <t>landeed.com</t>
  </si>
  <si>
    <t>https://pitchbook.com/profiles/company/501454-27</t>
  </si>
  <si>
    <t>https://mobile.twitter.com/landeedinc</t>
  </si>
  <si>
    <t>ravi@landeed.com</t>
  </si>
  <si>
    <t>2026-05-29 08:53:05.952454+00</t>
  </si>
  <si>
    <t>borro-1</t>
  </si>
  <si>
    <t>borro-37d2</t>
  </si>
  <si>
    <t>Borro</t>
  </si>
  <si>
    <t>Borro is a Brussels-based startup that provides a digital deposit system linking reusable cups to visitors' bank cards for automated deposit returns and tracking.</t>
  </si>
  <si>
    <t>borro.one</t>
  </si>
  <si>
    <t>borro-one</t>
  </si>
  <si>
    <t>https://pitchbook.com/profiles/company/600227-38</t>
  </si>
  <si>
    <t>hello@borro.one</t>
  </si>
  <si>
    <t>2025-07-20 02:49:22.299132+00</t>
  </si>
  <si>
    <t>2026-05-29 08:51:07.220192+00</t>
  </si>
  <si>
    <t>webout</t>
  </si>
  <si>
    <t>Webout</t>
  </si>
  <si>
    <t>Webout is a SaaS company that provides a platform for real-time, hyper-personalized video delivered directly on users‚Äô devices.</t>
  </si>
  <si>
    <t>Praha, Hlavni mesto Praha, Czech Republic, Europe</t>
  </si>
  <si>
    <t>webout.me</t>
  </si>
  <si>
    <t>webout-me</t>
  </si>
  <si>
    <t>https://pitchbook.com/profiles/company/664546-24</t>
  </si>
  <si>
    <t>hello@webout.me</t>
  </si>
  <si>
    <t>+420 737 854 695</t>
  </si>
  <si>
    <t>2026-05-29 08:48:57.093396+00</t>
  </si>
  <si>
    <t>fogg</t>
  </si>
  <si>
    <t>fogg-japan</t>
  </si>
  <si>
    <t>Fogg</t>
  </si>
  <si>
    <t>Fogg operates RAFFLE, a guaranteed-win online lottery platform offering original merchandise and digital content with end-to-end planning, manufacturing, delivery, and customer support.</t>
  </si>
  <si>
    <t>fogg.jp</t>
  </si>
  <si>
    <t>https://pitchbook.com/profiles/company/592688-80</t>
  </si>
  <si>
    <t>2026-05-11 23:02:48.99385+00</t>
  </si>
  <si>
    <t>2026-05-29 08:36:09.203309+00</t>
  </si>
  <si>
    <t>atlasedge</t>
  </si>
  <si>
    <t>AtlasEdge</t>
  </si>
  <si>
    <t>AtlasEdge is a European data centre provider that develops and operates large-scale, sustainable data centre capacity.</t>
  </si>
  <si>
    <t>atlasedge.com</t>
  </si>
  <si>
    <t>https://pitchbook.com/profiles/company/466710-49</t>
  </si>
  <si>
    <t>https://twitter.com/AtlasEdgeDC</t>
  </si>
  <si>
    <t>contact@atlasedge.com</t>
  </si>
  <si>
    <t>+1 814 682 7456</t>
  </si>
  <si>
    <t>2026-05-29 08:35:10.917908+00</t>
  </si>
  <si>
    <t>resonate-bio</t>
  </si>
  <si>
    <t>Resonate Bio</t>
  </si>
  <si>
    <t>Resonate Bio is an AI-driven NMR structural biology company that generates experimentally grounded structural ensembles of protein‚Äìligand interactions.</t>
  </si>
  <si>
    <t>Vienna, Wien, Austria, Europe</t>
  </si>
  <si>
    <t>resonate.bio</t>
  </si>
  <si>
    <t>media@resonate.bio</t>
  </si>
  <si>
    <t>2026-05-29 08:23:17.934518+00</t>
  </si>
  <si>
    <t>sumvin</t>
  </si>
  <si>
    <t>Sumvin</t>
  </si>
  <si>
    <t>Sumvin is a San Francisco-based company building an AI-powered financial assistant for permissioned, delegated money management.</t>
  </si>
  <si>
    <t>sumvin.com</t>
  </si>
  <si>
    <t>https://pitchbook.com/profiles/company/1319821-03</t>
  </si>
  <si>
    <t>2026-02-27 00:01:49.416072+00</t>
  </si>
  <si>
    <t>2026-05-29 08:17:31.152064+00</t>
  </si>
  <si>
    <t>mrm-health</t>
  </si>
  <si>
    <t>mrm-health-nv</t>
  </si>
  <si>
    <t>MRM Health</t>
  </si>
  <si>
    <t>MRM Health is a biopharmaceutical company developing microbiome-based biotherapeutic products for chronic inflammatory diseases.</t>
  </si>
  <si>
    <t>Ghent, Oost-Vlaanderen, Belgium, Europe</t>
  </si>
  <si>
    <t>mrmhealth.com</t>
  </si>
  <si>
    <t>mrmhealth</t>
  </si>
  <si>
    <t>https://pitchbook.com/profiles/company/432531-64</t>
  </si>
  <si>
    <t>info@mrmhealth.com</t>
  </si>
  <si>
    <t>+32 9 241 11 88</t>
  </si>
  <si>
    <t>2025-09-04 08:30:28.456531+00</t>
  </si>
  <si>
    <t>2026-05-29 08:06:24.277298+00</t>
  </si>
  <si>
    <t>1104health</t>
  </si>
  <si>
    <t>1104Health</t>
  </si>
  <si>
    <t>1104Health is a digital health company that operates the Shared Care Network to connect local oncologists and academic subspecialists.</t>
  </si>
  <si>
    <t>Bethesda, Maryland, United States, North America</t>
  </si>
  <si>
    <t>1104health.com</t>
  </si>
  <si>
    <t>https://pitchbook.com/profiles/company/590528-44</t>
  </si>
  <si>
    <t>800-881-6113</t>
  </si>
  <si>
    <t>2026-05-29 08:04:49.763289+00</t>
  </si>
  <si>
    <t>enlite</t>
  </si>
  <si>
    <t>enlite-research</t>
  </si>
  <si>
    <t>Enlite</t>
  </si>
  <si>
    <t>Enlite is a Mumbai-based startup that builds wireless, cloud-native building automation systems for retrofitting and modernizing commercial buildings.</t>
  </si>
  <si>
    <t>Mumbai, Maharashtra, India, Asia</t>
  </si>
  <si>
    <t>enliteresearch.com</t>
  </si>
  <si>
    <t>enliteresearch</t>
  </si>
  <si>
    <t>https://pitchbook.com/profiles/company/439173-91</t>
  </si>
  <si>
    <t>connect@enliteresearch.com</t>
  </si>
  <si>
    <t>2026-05-29 07:59:51.55125+00</t>
  </si>
  <si>
    <t>netris-pharma</t>
  </si>
  <si>
    <t>NETRIS Pharma</t>
  </si>
  <si>
    <t>NETRIS Pharma is a clinical-stage biotechnology company developing therapies that target the netrin-1/dependence receptor axis to overcome cancer treatment resistance.</t>
  </si>
  <si>
    <t>netrispharma.com</t>
  </si>
  <si>
    <t>https://pitchbook.com/profiles/company/98486-65</t>
  </si>
  <si>
    <t>+33 4 78 78 29 53</t>
  </si>
  <si>
    <t>2026-05-29 07:50:32.403189+00</t>
  </si>
  <si>
    <t>amusement-connect</t>
  </si>
  <si>
    <t>Amusement Connect</t>
  </si>
  <si>
    <t>Amusement Connect is a developer of cashless game payment solutions and cloud-native arcade management software.</t>
  </si>
  <si>
    <t>Kansas City, Missouri, United States, North America</t>
  </si>
  <si>
    <t>amusementconnect.com</t>
  </si>
  <si>
    <t>amusement-connect-llc</t>
  </si>
  <si>
    <t>https://x.com/amuseconnect</t>
  </si>
  <si>
    <t>sales@amusementconnect.com</t>
  </si>
  <si>
    <t>+1 833 727 2233</t>
  </si>
  <si>
    <t>2026-05-29 07:47:08.147106+00</t>
  </si>
  <si>
    <t>featuring</t>
  </si>
  <si>
    <t>Featuring</t>
  </si>
  <si>
    <t>Featuring is an international social media data analytics company offering influencer marketing solutions and social data analytics platforms powered by Featuring AI.</t>
  </si>
  <si>
    <t>featuring.co</t>
  </si>
  <si>
    <t>%ed%94%bc%ec%b2%98%eb%a7%81</t>
  </si>
  <si>
    <t>https://pitchbook.com/profiles/company/464237-65</t>
  </si>
  <si>
    <t>2026-05-29 07:24:07.142602+00</t>
  </si>
  <si>
    <t>ferranti</t>
  </si>
  <si>
    <t>ferranti-computer-systems</t>
  </si>
  <si>
    <t>Ferranti</t>
  </si>
  <si>
    <t>Ferranti is an Antwerp-based company that develops mission-critical software for utilities, including systems behind energy billing.</t>
  </si>
  <si>
    <t>Antwerpen, Antwerpen, Belgium, Europe</t>
  </si>
  <si>
    <t>ferranti.be</t>
  </si>
  <si>
    <t>2026-05-29 07:12:38.220862+00</t>
  </si>
  <si>
    <t>inkwell-health</t>
  </si>
  <si>
    <t>InkWell Health</t>
  </si>
  <si>
    <t>InkWell Health is a healthcare technology company that uses temporary smart tattoos paired with a smartphone app to monitor post-surgical recovery metrics such as swelling, temperature, and range of motion.</t>
  </si>
  <si>
    <t>Waterloo, Ontario, Canada, North America</t>
  </si>
  <si>
    <t>inkwellhealth.com</t>
  </si>
  <si>
    <t>inkwell-health-ltd</t>
  </si>
  <si>
    <t>https://pitchbook.com/profiles/company/601813-00</t>
  </si>
  <si>
    <t>support@inkwellhealth.com</t>
  </si>
  <si>
    <t>416-904-8278</t>
  </si>
  <si>
    <t>2026-05-29 07:08:01.915217+00</t>
  </si>
  <si>
    <t>veraxa-biotech</t>
  </si>
  <si>
    <t>VERAXA Biotech</t>
  </si>
  <si>
    <t>VERAXA Biotech is a biotech company developing antibody-drug conjugates and novel BiTAC antibody formats.</t>
  </si>
  <si>
    <t>Heidelberg, Baden-Wurttemberg, Germany, Europe</t>
  </si>
  <si>
    <t>veraxa.com</t>
  </si>
  <si>
    <t>https://pitchbook.com/profiles/company/268411-24</t>
  </si>
  <si>
    <t>2026-05-29 06:55:58.013194+00</t>
  </si>
  <si>
    <t>dandelion-health</t>
  </si>
  <si>
    <t>dandelion-health-ai</t>
  </si>
  <si>
    <t>Dandelion Health</t>
  </si>
  <si>
    <t>Dandelion Health is a clinical AI company building a multimodal platform to power drug development and improve clinical trial design using high-fidelity clinical data.</t>
  </si>
  <si>
    <t>dandelionhealth.ai</t>
  </si>
  <si>
    <t>https://pitchbook.com/profiles/company/494589-88</t>
  </si>
  <si>
    <t>https://x.com/Dandelion_AI4H</t>
  </si>
  <si>
    <t>compliance@dandelionhealth.ai</t>
  </si>
  <si>
    <t>2026-05-05 20:00:42.079994+00</t>
  </si>
  <si>
    <t>2026-05-29 06:44:46.856491+00</t>
  </si>
  <si>
    <t>charms</t>
  </si>
  <si>
    <t>Charms</t>
  </si>
  <si>
    <t>Charms is a company building an onchain economy for AI characters and operating Charms.ai, a consumer app for creating and interacting with persistent AI characters.</t>
  </si>
  <si>
    <t>charms.ai</t>
  </si>
  <si>
    <t>charms-interactive-inc</t>
  </si>
  <si>
    <t>2026-05-12 19:00:38.477882+00</t>
  </si>
  <si>
    <t>2026-05-29 05:59:42.25426+00</t>
  </si>
  <si>
    <t>yesmadam</t>
  </si>
  <si>
    <t>yes-madam</t>
  </si>
  <si>
    <t>Yes Madam</t>
  </si>
  <si>
    <t>Yes Madam is a home salon and wellness platform connecting women service professionals with at-home bookings.</t>
  </si>
  <si>
    <t>Noida, Uttar Pradesh, India, Asia</t>
  </si>
  <si>
    <t>yesmadam.com</t>
  </si>
  <si>
    <t>https://pitchbook.com/profiles/company/182463-67</t>
  </si>
  <si>
    <t>https://x.com/_yesmadam</t>
  </si>
  <si>
    <t>Support@yesmadam.com</t>
  </si>
  <si>
    <t>2026-05-29 05:20:50.431167+00</t>
  </si>
  <si>
    <t>orobit</t>
  </si>
  <si>
    <t>Orobit</t>
  </si>
  <si>
    <t>Orobit is a financial infrastructure and enterprise technology company focused on payments, settlement systems, compliance operations and institutional infrastructure.</t>
  </si>
  <si>
    <t>Luxembourg, Luxembourg, Luxembourg, Europe</t>
  </si>
  <si>
    <t>orobit.ai</t>
  </si>
  <si>
    <t>orobit-inc</t>
  </si>
  <si>
    <t>https://x.com/orobit_official</t>
  </si>
  <si>
    <t>2026-05-29 04:50:21.396131+00</t>
  </si>
  <si>
    <t>cerenis-therapeutics</t>
  </si>
  <si>
    <t>abionyx-pharma</t>
  </si>
  <si>
    <t>Abionyx Pharma</t>
  </si>
  <si>
    <t>Abionyx Pharma is a Balma-based biotech developing innovative therapies to fight sepsis, including the investigational drug CER-001.</t>
  </si>
  <si>
    <t>Balma, Midi-Pyrenees, France, Europe</t>
  </si>
  <si>
    <t>abionyx.com</t>
  </si>
  <si>
    <t>abionyx</t>
  </si>
  <si>
    <t>https://pitchbook.com/profiles/company/50913-01</t>
  </si>
  <si>
    <t>https://x.com/AbionyxPharma</t>
  </si>
  <si>
    <t>infos@abionyx.co</t>
  </si>
  <si>
    <t>+33 5-62-24-97-06</t>
  </si>
  <si>
    <t>2026-05-29 04:36:37.78778+00</t>
  </si>
  <si>
    <t>fei-jie-ke-si</t>
  </si>
  <si>
    <t>È£ûÊç∑ÁßëÊÄù</t>
  </si>
  <si>
    <t>È£ûÊç∑ÁßëÊÄùÊô∫ËÉΩÁßëÊäÄÔºà‰∏äÊµ∑ÔºâÊúâÈôêÂÖ¨Âè∏ is a Shanghai-based intelligent technology company.</t>
  </si>
  <si>
    <t>fysics.net</t>
  </si>
  <si>
    <t>2026-05-24 23:02:22.087438+00</t>
  </si>
  <si>
    <t>2026-05-29 00:03:52.220295+00</t>
  </si>
  <si>
    <t>jie-yue</t>
  </si>
  <si>
    <t>Èò∂Ë∑É</t>
  </si>
  <si>
    <t>Èò∂Ë∑É is an AI company developing foundational large models and AI cockpit Agent capabilities.</t>
  </si>
  <si>
    <t>stepfun.com</t>
  </si>
  <si>
    <t>2026-05-29 00:03:52.176217+00</t>
  </si>
  <si>
    <t>2026 is an early-stage startup.</t>
  </si>
  <si>
    <t>angelinvestmentnetwork.net</t>
  </si>
  <si>
    <t>2026-05-29 00:03:52.134246+00</t>
  </si>
  <si>
    <t>the-breadboard</t>
  </si>
  <si>
    <t>The BreadBoard</t>
  </si>
  <si>
    <t>The BreadBoard is a STEM education startup that combines stackable, Lego-like hardware kits with video tutorials to teach robotics and electronics to young learners.</t>
  </si>
  <si>
    <t>thebreadboardcompany.com</t>
  </si>
  <si>
    <t>2026-05-17 20:00:30.0334+00</t>
  </si>
  <si>
    <t>2026-05-29 00:03:52.050525+00</t>
  </si>
  <si>
    <t>kelo</t>
  </si>
  <si>
    <t>KELO</t>
  </si>
  <si>
    <t>KELO is a Spain-based proptech/fintech building an operating layer that combines intelligence, operations, and liquidity for institutional residential portfolios.</t>
  </si>
  <si>
    <t>getkelo.com</t>
  </si>
  <si>
    <t>2026-05-29 00:03:47.949811+00</t>
  </si>
  <si>
    <t>o-vision-aoshi-technology</t>
  </si>
  <si>
    <t>aoshi-technology</t>
  </si>
  <si>
    <t>O-Vision (Aoshi) Technology</t>
  </si>
  <si>
    <t>O-Vision (Aoshi) Technology develops photolithography-based OLED microdisplays and related manufacturing processes.</t>
  </si>
  <si>
    <t>o-visiontech.com</t>
  </si>
  <si>
    <t>2026-05-29 00:03:47.629701+00</t>
  </si>
  <si>
    <t>geeiq</t>
  </si>
  <si>
    <t>checkpoint</t>
  </si>
  <si>
    <t>GEEIQ</t>
  </si>
  <si>
    <t>GEEIQ is a data and analytics platform that provides insights for brands operating in games and virtual worlds.</t>
  </si>
  <si>
    <t>geeiq.com</t>
  </si>
  <si>
    <t>getgeeiq</t>
  </si>
  <si>
    <t>https://pitchbook.com/profiles/company/300279-43</t>
  </si>
  <si>
    <t>https://x.com/geeiqinsights</t>
  </si>
  <si>
    <t>hello@geeiq.com</t>
  </si>
  <si>
    <t>2026-05-28 23:36:28.96414+00</t>
  </si>
  <si>
    <t>zeely</t>
  </si>
  <si>
    <t>Zeely</t>
  </si>
  <si>
    <t>Zeely is a Ukrainian AI marketing intelligence platform that automates creation and scaling of digital advertising for small and medium businesses.</t>
  </si>
  <si>
    <t>Delaware City, Delaware, United States, North America</t>
  </si>
  <si>
    <t>zeely.app</t>
  </si>
  <si>
    <t>zeelyai</t>
  </si>
  <si>
    <t>https://pitchbook.com/profiles/company/518918-50</t>
  </si>
  <si>
    <t>https://twitter.com/appzeely</t>
  </si>
  <si>
    <t>support@zeely.app</t>
  </si>
  <si>
    <t>2026-05-28 23:36:28.957113+00</t>
  </si>
  <si>
    <t>mercury-2</t>
  </si>
  <si>
    <t>mercury-technologies</t>
  </si>
  <si>
    <t>Mercury</t>
  </si>
  <si>
    <t>Mercury is a fintech technology company providing banking products and financial tools designed for startups and growing businesses.</t>
  </si>
  <si>
    <t>mercury.com</t>
  </si>
  <si>
    <t>mercurybank</t>
  </si>
  <si>
    <t>https://pitchbook.com/profiles/company/222307-21</t>
  </si>
  <si>
    <t>https://twitter.com/bankmercury</t>
  </si>
  <si>
    <t>hello@mercury.com</t>
  </si>
  <si>
    <t>415-634-9020</t>
  </si>
  <si>
    <t>2026-05-28 23:36:28.955667+00</t>
  </si>
  <si>
    <t>pinsec-ai</t>
  </si>
  <si>
    <t>PinSec.AI</t>
  </si>
  <si>
    <t>PinSec.AI is an AI-native quantitative fund and financial services platform building technology-first wealth management and advisory for South India.</t>
  </si>
  <si>
    <t>Nyack, New York, United States, North America</t>
  </si>
  <si>
    <t>pinsec.ai</t>
  </si>
  <si>
    <t>pinsecai</t>
  </si>
  <si>
    <t>https://pitchbook.com/profiles/company/771566-32</t>
  </si>
  <si>
    <t>2026-05-07 23:03:05.155609+00</t>
  </si>
  <si>
    <t>2026-05-28 23:36:28.940314+00</t>
  </si>
  <si>
    <t>reps</t>
  </si>
  <si>
    <t>REPS</t>
  </si>
  <si>
    <t>REPS is a Tyrol-based startup that builds a patented road power plant to harvest wasted mechanical energy from vehicle traffic and convert it into electricity.</t>
  </si>
  <si>
    <t>reps.energy</t>
  </si>
  <si>
    <t>reps-gmbh</t>
  </si>
  <si>
    <t>https://pitchbook.com/profiles/company/530747-11</t>
  </si>
  <si>
    <t>2025-09-27 05:30:25.889337+00</t>
  </si>
  <si>
    <t>2026-05-28 23:36:28.939423+00</t>
  </si>
  <si>
    <t>xwave-technologies</t>
  </si>
  <si>
    <t>xWave Technologies</t>
  </si>
  <si>
    <t>xWave Technologies is a Dublin-based health-tech company that develops AI software to analyse clinical notes and recommend appropriate diagnostic scans and tests.</t>
  </si>
  <si>
    <t>xwave.ie</t>
  </si>
  <si>
    <t>https://pitchbook.com/profiles/company/465548-86</t>
  </si>
  <si>
    <t>https://x.com/xwavetech</t>
  </si>
  <si>
    <t>hello@xwave.ie</t>
  </si>
  <si>
    <t>2026-05-28 23:36:28.933602+00</t>
  </si>
  <si>
    <t>nourish</t>
  </si>
  <si>
    <t>nourish-5df7</t>
  </si>
  <si>
    <t>Nourish</t>
  </si>
  <si>
    <t>Nourish is a dietitian-led metabolic health clinic that pairs registered dietitians with AI health agents to deliver insurance-covered virtual care aimed at reversing chronic disease.</t>
  </si>
  <si>
    <t>usenourish.com</t>
  </si>
  <si>
    <t>usenourish</t>
  </si>
  <si>
    <t>https://pitchbook.com/profiles/company/495555-67</t>
  </si>
  <si>
    <t>support@usenourish.com</t>
  </si>
  <si>
    <t>2026-05-28 23:36:28.932292+00</t>
  </si>
  <si>
    <t>Èõ∂‰∏ÄÊ±ΩËΩ¶</t>
  </si>
  <si>
    <t>zero-one-car</t>
  </si>
  <si>
    <t xml:space="preserve">Zeron - Èõ∂‰∏ÄÊ±ΩËΩ¶ </t>
  </si>
  <si>
    <t>Zeron - Èõ∂‰∏ÄÊ±ΩËΩ¶ is a Chinese electric heavy-duty truck startup developing autonomous heavy-duty trucks.</t>
  </si>
  <si>
    <t>Taicang, Jiangsu, China, Asia</t>
  </si>
  <si>
    <t>zerontruck.com</t>
  </si>
  <si>
    <t>zeron-truck</t>
  </si>
  <si>
    <t>https://pitchbook.com/profiles/company/515909-80</t>
  </si>
  <si>
    <t>2026-05-28 23:36:28.927751+00</t>
  </si>
  <si>
    <t>endl</t>
  </si>
  <si>
    <t>Endl</t>
  </si>
  <si>
    <t>Endl provides a unified, stable-coin‚Äìcentric platform that lets businesses in emerging markets hold multi-currency accounts, convert fiat and stablecoins, and make fast, compliant cross-border payments with linked corporate cards.</t>
  </si>
  <si>
    <t>Dubai, Dubai, United Arab Emirates, Asia</t>
  </si>
  <si>
    <t>endl.io</t>
  </si>
  <si>
    <t>https://pitchbook.com/profiles/company/866469-70</t>
  </si>
  <si>
    <t>https://x.com/endl_io</t>
  </si>
  <si>
    <t>info@endl.app</t>
  </si>
  <si>
    <t>2026-02-14 00:30:27.738364+00</t>
  </si>
  <si>
    <t>2026-05-28 23:36:28.92273+00</t>
  </si>
  <si>
    <t>tiea</t>
  </si>
  <si>
    <t>tiea-connectors</t>
  </si>
  <si>
    <t>Tiea Connectors</t>
  </si>
  <si>
    <t>Tiea Connectors develops high-performance connectors, precision contacts, and connectivity solutions for mission-critical applications.</t>
  </si>
  <si>
    <t>Dharwad, Karnataka, India, Asia</t>
  </si>
  <si>
    <t>tieaconnectors.com</t>
  </si>
  <si>
    <t>tiea-connectors-pvt-ltd</t>
  </si>
  <si>
    <t>https://pitchbook.com/profiles/company/484388-38</t>
  </si>
  <si>
    <t>https://x.com/ltdtiea</t>
  </si>
  <si>
    <t>2026-05-28 23:36:28.92005+00</t>
  </si>
  <si>
    <t>pure-data-centres</t>
  </si>
  <si>
    <t>Pure Data Centres</t>
  </si>
  <si>
    <t>Pure Data Centres is a London-headquartered data centre firm that buys land, builds data centre campuses and leases them to hyperscalers for AI and cloud workloads.</t>
  </si>
  <si>
    <t>puredc.com</t>
  </si>
  <si>
    <t>pure-data-centres-group</t>
  </si>
  <si>
    <t>https://pitchbook.com/profiles/company/186245-20</t>
  </si>
  <si>
    <t>info@puredc.global</t>
  </si>
  <si>
    <t>+27 (83) 307 0137</t>
  </si>
  <si>
    <t>2025-12-19 00:30:29.002668+00</t>
  </si>
  <si>
    <t>2026-05-28 23:36:28.9175+00</t>
  </si>
  <si>
    <t>stord</t>
  </si>
  <si>
    <t>Stord</t>
  </si>
  <si>
    <t>Stord is a commerce infrastructure company that provides a fulfillment network, software, and AI for independent brands.</t>
  </si>
  <si>
    <t>Atlanta, Georgia, United States, North America</t>
  </si>
  <si>
    <t>stord.com</t>
  </si>
  <si>
    <t>https://pitchbook.com/profiles/company/170974-27</t>
  </si>
  <si>
    <t>https://www.twitter.com/getstord</t>
  </si>
  <si>
    <t>sales@stord.com</t>
  </si>
  <si>
    <t>(833) 700 - 2025</t>
  </si>
  <si>
    <t>2026-05-28 23:36:28.913478+00</t>
  </si>
  <si>
    <t>casaperks</t>
  </si>
  <si>
    <t>CasaPerks</t>
  </si>
  <si>
    <t>CasaPerks Technologies is an AI-powered intelligent rewards platform that operates CasaPerks for resident loyalty and WorksPerks for workplace recognition.</t>
  </si>
  <si>
    <t>casaperks.com</t>
  </si>
  <si>
    <t>https://pitchbook.com/profiles/company/159063-40</t>
  </si>
  <si>
    <t>https://twitter.com/casaperks</t>
  </si>
  <si>
    <t>contact@casaperks.com</t>
  </si>
  <si>
    <t>512.521.0518</t>
  </si>
  <si>
    <t>2026-05-28 23:36:28.896372+00</t>
  </si>
  <si>
    <t>unframe</t>
  </si>
  <si>
    <t>unframe-fcd6</t>
  </si>
  <si>
    <t>Unframe</t>
  </si>
  <si>
    <t>Unframe is a managed AI delivery platform that turns enterprise AI use cases into tailored, production-grade solutions within days.</t>
  </si>
  <si>
    <t>Cupertino, California, United States, North America</t>
  </si>
  <si>
    <t>unframe.ai</t>
  </si>
  <si>
    <t>unframe-ai</t>
  </si>
  <si>
    <t>https://pitchbook.com/profiles/company/770453-20</t>
  </si>
  <si>
    <t>https://x.com/UnframeAI</t>
  </si>
  <si>
    <t>contact@unframe.ai</t>
  </si>
  <si>
    <t>2026-05-28 23:36:28.886652+00</t>
  </si>
  <si>
    <t>hoopr</t>
  </si>
  <si>
    <t>hoopr-e150</t>
  </si>
  <si>
    <t>Hoopr</t>
  </si>
  <si>
    <t>Hoopr is an Indian music licensing platform that provides copyright-safe tracks for creators and brands while ensuring transparent revenue sharing with artists.</t>
  </si>
  <si>
    <t>hoopr.ai</t>
  </si>
  <si>
    <t>hooprofficial</t>
  </si>
  <si>
    <t>https://pitchbook.com/profiles/company/471871-81</t>
  </si>
  <si>
    <t>hello@hoopr.in</t>
  </si>
  <si>
    <t>+91 9099197091</t>
  </si>
  <si>
    <t>2025-11-18 04:30:27.946725+00</t>
  </si>
  <si>
    <t>2026-05-28 23:36:28.876324+00</t>
  </si>
  <si>
    <t>human-archive</t>
  </si>
  <si>
    <t>Human Archive</t>
  </si>
  <si>
    <t>Human Archive is a Silicon Valley startup that collects synchronized egocentric video and multi-sensor data from gig-economy workers to train AI and robotics models.</t>
  </si>
  <si>
    <t>humanarchive.ai</t>
  </si>
  <si>
    <t>https://pitchbook.com/profiles/company/1366557-58</t>
  </si>
  <si>
    <t>2026-05-26 17:00:38.724867+00</t>
  </si>
  <si>
    <t>2026-05-28 23:36:28.867816+00</t>
  </si>
  <si>
    <t>certo</t>
  </si>
  <si>
    <t>certo-36d5</t>
  </si>
  <si>
    <t>Certo</t>
  </si>
  <si>
    <t>Certo is a Paris-based startup that automates product compliance for consumer packaged goods and beauty brands through an AI-driven platform.</t>
  </si>
  <si>
    <t>askcerto.com</t>
  </si>
  <si>
    <t>askcerto</t>
  </si>
  <si>
    <t>https://pitchbook.com/profiles/company/1082788-48</t>
  </si>
  <si>
    <t>contact@askcerto.com</t>
  </si>
  <si>
    <t>2026-05-28 23:36:28.862794+00</t>
  </si>
  <si>
    <t>cleatus</t>
  </si>
  <si>
    <t>CLEATUS</t>
  </si>
  <si>
    <t>CLEATUS is a U.S.-based company that uses agent-based AI to help small and medium-sized businesses find, bid on, and win government procurement contracts.</t>
  </si>
  <si>
    <t>Arlington, Virginia, United States, North America</t>
  </si>
  <si>
    <t>cleat.ai</t>
  </si>
  <si>
    <t>cleatus-ai</t>
  </si>
  <si>
    <t>https://x.com/cleatus_ai</t>
  </si>
  <si>
    <t>info@cleat.ai</t>
  </si>
  <si>
    <t>2026-05-28 23:36:28.846952+00</t>
  </si>
  <si>
    <t>parasail-1</t>
  </si>
  <si>
    <t>parasail-1570</t>
  </si>
  <si>
    <t>Parasail</t>
  </si>
  <si>
    <t>Parasail is a cloud computing provider that supplies specialized inference infrastructure for companies running generative AI models.</t>
  </si>
  <si>
    <t>parasail.io</t>
  </si>
  <si>
    <t>parasail-io</t>
  </si>
  <si>
    <t>https://pitchbook.com/profiles/company/616591-27</t>
  </si>
  <si>
    <t>https://x.com/parasail_io</t>
  </si>
  <si>
    <t>legal@parasail.io</t>
  </si>
  <si>
    <t>2026-05-28 23:36:28.821392+00</t>
  </si>
  <si>
    <t>gimlet-labs</t>
  </si>
  <si>
    <t>Gimlet Labs</t>
  </si>
  <si>
    <t>Gimlet Labs is a startup that provides a multi-silicon inference cloud software to run and orchestrate AI workloads across diverse hardware types.</t>
  </si>
  <si>
    <t>gimletlabs.ai</t>
  </si>
  <si>
    <t>gimletlabs</t>
  </si>
  <si>
    <t>https://pitchbook.com/profiles/company/607941-46</t>
  </si>
  <si>
    <t>2026-03-23 18:00:36.717581+00</t>
  </si>
  <si>
    <t>2026-05-28 23:36:28.817868+00</t>
  </si>
  <si>
    <t>triomics</t>
  </si>
  <si>
    <t>Triomics</t>
  </si>
  <si>
    <t>Triomics is an AI-powered platform that helps oncologists and administrative staff automate data-heavy tasks such as clinical trial matching and appointment preparation.</t>
  </si>
  <si>
    <t>triomics.com</t>
  </si>
  <si>
    <t>https://pitchbook.com/profiles/company/463243-33</t>
  </si>
  <si>
    <t>https://twitter.com/Triomicsinc</t>
  </si>
  <si>
    <t>sarim@triomics.com</t>
  </si>
  <si>
    <t>+1 9256391365</t>
  </si>
  <si>
    <t>2026-05-28 23:36:28.815469+00</t>
  </si>
  <si>
    <t>plate-up</t>
  </si>
  <si>
    <t>Plate Up</t>
  </si>
  <si>
    <t>Plate Up is a free recipe-to-shop app that lets users pick meals and order ingredients from supermarkets in minutes.</t>
  </si>
  <si>
    <t>plateup.app</t>
  </si>
  <si>
    <t>plateup</t>
  </si>
  <si>
    <t>https://x.com/plate__up</t>
  </si>
  <si>
    <t>support@plateup.app</t>
  </si>
  <si>
    <t>2026-05-28 23:36:28.785901+00</t>
  </si>
  <si>
    <t>capchase</t>
  </si>
  <si>
    <t>Capchase</t>
  </si>
  <si>
    <t>Capchase is a NYC-based provider of a vendor financing platform and lender that embeds underwriting, origination, and deal management into sales workflows for enterprise technology companies.</t>
  </si>
  <si>
    <t>capchase.com</t>
  </si>
  <si>
    <t>https://pitchbook.com/profiles/company/438321-34</t>
  </si>
  <si>
    <t>https://mobile.twitter.com/capchase</t>
  </si>
  <si>
    <t>hello@capchase.com</t>
  </si>
  <si>
    <t>2026-05-28 23:36:28.783615+00</t>
  </si>
  <si>
    <t>nanoco</t>
  </si>
  <si>
    <t>NanoCo</t>
  </si>
  <si>
    <t>NanoCo is the company behind NanoClaw, a security-focused OpenClaw alternative that runs sandboxed AI agents in containers.</t>
  </si>
  <si>
    <t>nanoclaw.dev</t>
  </si>
  <si>
    <t>nanocoai</t>
  </si>
  <si>
    <t>2026-05-20 16:00:39.395202+00</t>
  </si>
  <si>
    <t>2026-05-28 23:36:28.762017+00</t>
  </si>
  <si>
    <t>alkelux</t>
  </si>
  <si>
    <t>Alkelux</t>
  </si>
  <si>
    <t>Alkelux is a Sardinia-based deeptech startup developing a sustainable industrial additive for food packaging made from licorice root waste.</t>
  </si>
  <si>
    <t>Sassari, Sardegna, Italy, Europe</t>
  </si>
  <si>
    <t>alkelux.com</t>
  </si>
  <si>
    <t>alke-lux</t>
  </si>
  <si>
    <t>https://pitchbook.com/profiles/company/703795-96</t>
  </si>
  <si>
    <t>infoadmin@alkelux.com</t>
  </si>
  <si>
    <t>+39 349 4067275</t>
  </si>
  <si>
    <t>2026-05-13 10:50:29.058515+00</t>
  </si>
  <si>
    <t>2026-05-28 23:36:28.752208+00</t>
  </si>
  <si>
    <t>openrouter</t>
  </si>
  <si>
    <t>OpenRouter</t>
  </si>
  <si>
    <t>OpenRouter is an AI model aggregation platform providing a unified API to access and route requests across over 300 open-source and proprietary large language models.</t>
  </si>
  <si>
    <t>openrouter.ai</t>
  </si>
  <si>
    <t>https://pitchbook.com/profiles/company/593134-93</t>
  </si>
  <si>
    <t>https://x.com/openrouterai</t>
  </si>
  <si>
    <t>support@openrouter.ai.</t>
  </si>
  <si>
    <t>2026-04-02 12:00:35.504558+00</t>
  </si>
  <si>
    <t>2026-05-28 23:36:28.751192+00</t>
  </si>
  <si>
    <t>abcoffee</t>
  </si>
  <si>
    <t>abCoffee</t>
  </si>
  <si>
    <t>abcoffee is a grab-and-go coffee chain operating compact outlets across multiple Indian cities.</t>
  </si>
  <si>
    <t>abcoffee.in</t>
  </si>
  <si>
    <t>abcoffee-india</t>
  </si>
  <si>
    <t>https://pitchbook.com/profiles/company/523232-56</t>
  </si>
  <si>
    <t>https://twitter.com/abcoffeeindia</t>
  </si>
  <si>
    <t>+91 7488093854</t>
  </si>
  <si>
    <t>2026-05-28 23:36:28.748678+00</t>
  </si>
  <si>
    <t>novity-1</t>
  </si>
  <si>
    <t>novity-957c</t>
  </si>
  <si>
    <t>Novity</t>
  </si>
  <si>
    <t>Novity is a San Francisco‚Äìbased provider of a predictive maintenance platform (TruPrognostics AI) for process industries.</t>
  </si>
  <si>
    <t>San Carlos, California, United States, North America</t>
  </si>
  <si>
    <t>novity.us</t>
  </si>
  <si>
    <t>novity-pdm</t>
  </si>
  <si>
    <t>https://pitchbook.com/profiles/company/538911-19</t>
  </si>
  <si>
    <t>https://twitter.com/novityPdM</t>
  </si>
  <si>
    <t>info@novity.us</t>
  </si>
  <si>
    <t>2026-05-28 23:36:28.741288+00</t>
  </si>
  <si>
    <t>the-black-label</t>
  </si>
  <si>
    <t>The Black Label</t>
  </si>
  <si>
    <t>The Black Label is a South Korean K-pop label and production studio founded by producers Teddy Park and Kush that manages and produces for established and emerging artists.</t>
  </si>
  <si>
    <t>theblacklabel.com</t>
  </si>
  <si>
    <t>theblacklabel</t>
  </si>
  <si>
    <t>https://pitchbook.com/profiles/company/571813-93</t>
  </si>
  <si>
    <t>2026-05-28 23:36:28.736164+00</t>
  </si>
  <si>
    <t>greenway-1</t>
  </si>
  <si>
    <t>greenway-infrastructure</t>
  </si>
  <si>
    <t>GreenWay</t>
  </si>
  <si>
    <t>GreenWay is a Poland-based operator and developer of public electric vehicle charging infrastructure.</t>
  </si>
  <si>
    <t>Gdynia, Pomorskie, Poland, Europe</t>
  </si>
  <si>
    <t>greenwaynetwork.com</t>
  </si>
  <si>
    <t>greenway-operator</t>
  </si>
  <si>
    <t>https://pitchbook.com/profiles/company/154120-42</t>
  </si>
  <si>
    <t>https://x.com/GWOperator</t>
  </si>
  <si>
    <t>info@greenway.sk</t>
  </si>
  <si>
    <t>2026-05-28 23:36:28.733175+00</t>
  </si>
  <si>
    <t>polsia</t>
  </si>
  <si>
    <t>Polsia</t>
  </si>
  <si>
    <t>Polsia is an AI operations platform that orchestrates autonomous AI agents to run business workflows and company operations.</t>
  </si>
  <si>
    <t>polsia.com</t>
  </si>
  <si>
    <t>2026-05-22 19:00:34.909299+00</t>
  </si>
  <si>
    <t>2026-05-28 23:36:28.731251+00</t>
  </si>
  <si>
    <t>tide</t>
  </si>
  <si>
    <t>tide-2</t>
  </si>
  <si>
    <t>Tide</t>
  </si>
  <si>
    <t>Tide is a London-based fintech platform that offers SMEs digital business accounts, payments, invoicing, accounting integrations, expense management and embedded lending products through a single interface.</t>
  </si>
  <si>
    <t>tide.co</t>
  </si>
  <si>
    <t>tide-banking</t>
  </si>
  <si>
    <t>https://pitchbook.com/profiles/company/163104-58</t>
  </si>
  <si>
    <t>https://twitter.com/TideBusiness</t>
  </si>
  <si>
    <t>hello@tide.co</t>
  </si>
  <si>
    <t>+44 (0) 333 121 0266</t>
  </si>
  <si>
    <t>2026-05-28 23:36:28.728141+00</t>
  </si>
  <si>
    <t>core42</t>
  </si>
  <si>
    <t>Core42</t>
  </si>
  <si>
    <t>Core42 is a G42 subsidiary that builds sovereign cloud infrastructure and AI computing services.</t>
  </si>
  <si>
    <t>Abu Dhabi, Abu Dhabi, United Arab Emirates, Asia</t>
  </si>
  <si>
    <t>core42.ai</t>
  </si>
  <si>
    <t>core42ai</t>
  </si>
  <si>
    <t>https://x.com/core42_ai</t>
  </si>
  <si>
    <t>2026-05-28 23:36:28.722336+00</t>
  </si>
  <si>
    <t>p2-science</t>
  </si>
  <si>
    <t>P2 Science</t>
  </si>
  <si>
    <t>P2 Science is a green chemistry company that designs and manufactures renewable specialty ingredients for personal care, flavor &amp; fragrance, and performance materials.</t>
  </si>
  <si>
    <t>Woodbridge, Connecticut, United States, North America</t>
  </si>
  <si>
    <t>p2science.com</t>
  </si>
  <si>
    <t>p2-science-inc-</t>
  </si>
  <si>
    <t>https://pitchbook.com/profiles/company/55837-81</t>
  </si>
  <si>
    <t>https://x.com/p2science</t>
  </si>
  <si>
    <t>Inquiries@p2science.com</t>
  </si>
  <si>
    <t>(203) 821-7457</t>
  </si>
  <si>
    <t>2026-05-28 23:36:28.721024+00</t>
  </si>
  <si>
    <t>neurosoft-bioelectronics</t>
  </si>
  <si>
    <t>Neurosoft Bioelectronics</t>
  </si>
  <si>
    <t>Neurosoft Bioelectronics is a neurotechnology company developing scalable, minimally invasive brain-computer interfaces with soft, stretchable electrodes.</t>
  </si>
  <si>
    <t>Geneva, Geneve, Switzerland, Europe</t>
  </si>
  <si>
    <t>neurosoft-bio.com</t>
  </si>
  <si>
    <t>https://pitchbook.com/profiles/company/434967-67</t>
  </si>
  <si>
    <t>https://x.com/neurosoftbio</t>
  </si>
  <si>
    <t>contact@neurosoft-bio.com</t>
  </si>
  <si>
    <t>2026-05-28 23:36:28.711061+00</t>
  </si>
  <si>
    <t>solarz</t>
  </si>
  <si>
    <t>solarz-0563</t>
  </si>
  <si>
    <t>SolarZ</t>
  </si>
  <si>
    <t>SolarZ is an energytech based in Mossor√≥ that provides a software platform for solar integrators and management of solar plants.</t>
  </si>
  <si>
    <t>Mossor√≥, Rio Grande do Norte, Brazil, South America</t>
  </si>
  <si>
    <t>solarz.com.br</t>
  </si>
  <si>
    <t>solarz-tech</t>
  </si>
  <si>
    <t>https://pitchbook.com/profiles/company/495937-27</t>
  </si>
  <si>
    <t>https://twitter.com/solarztech</t>
  </si>
  <si>
    <t>contato@solarz.com.br</t>
  </si>
  <si>
    <t>55 11 95675-1469</t>
  </si>
  <si>
    <t>2026-05-28 23:36:28.708817+00</t>
  </si>
  <si>
    <t>ember-lifesciences</t>
  </si>
  <si>
    <t>Ember LifeSciences</t>
  </si>
  <si>
    <t>Ember LifeSciences is a cold-chain logistics company that offers reusable, modular temperature-controlled shipping solutions with real-time monitoring and cloud-based tracking.</t>
  </si>
  <si>
    <t>Los Angeles, California, United States, North America</t>
  </si>
  <si>
    <t>emberlifesciences.com</t>
  </si>
  <si>
    <t>https://pitchbook.com/profiles/company/519907-69</t>
  </si>
  <si>
    <t>support@emberlifesciences.com</t>
  </si>
  <si>
    <t>(805) 372-1330</t>
  </si>
  <si>
    <t>2026-05-28 23:36:28.705965+00</t>
  </si>
  <si>
    <t>pivot-2</t>
  </si>
  <si>
    <t>pivot-90db</t>
  </si>
  <si>
    <t>Pivot</t>
  </si>
  <si>
    <t>Pivot is an AI-powered procurement and finance operations platform that provides an AI operating system to manage sourcing, approvals, purchasing, invoicing, payments, budgets, expenses and reporting.</t>
  </si>
  <si>
    <t>pivotapp.ai</t>
  </si>
  <si>
    <t>pivothq</t>
  </si>
  <si>
    <t>https://pitchbook.com/profiles/company/537348-16</t>
  </si>
  <si>
    <t>contact@pivotapp.ai</t>
  </si>
  <si>
    <t>2026-05-28 23:36:28.699954+00</t>
  </si>
  <si>
    <t>elevenlabs</t>
  </si>
  <si>
    <t>ElevenLabs</t>
  </si>
  <si>
    <t>ElevenLabs is a voice AI company developing human-level AI voice models and voice-as-a-service for enterprises.</t>
  </si>
  <si>
    <t>elevenlabs.io</t>
  </si>
  <si>
    <t>elevenlabsio</t>
  </si>
  <si>
    <t>https://pitchbook.com/profiles/company/509315-23</t>
  </si>
  <si>
    <t>team@elevenlabs.io</t>
  </si>
  <si>
    <t>2026-05-28 23:36:28.69376+00</t>
  </si>
  <si>
    <t>oishii</t>
  </si>
  <si>
    <t>oishii-farm</t>
  </si>
  <si>
    <t>Oishii</t>
  </si>
  <si>
    <t>Oishii is the company behind the world's largest indoor vertical Smart Farm‚Ñ¢ that grows pesticide-free, Non-GMO strawberries year-round.</t>
  </si>
  <si>
    <t>Jersey City, New Jersey, United States, North America</t>
  </si>
  <si>
    <t>oishii.com</t>
  </si>
  <si>
    <t>oishiiberry</t>
  </si>
  <si>
    <t>https://pitchbook.com/profiles/company/186952-87</t>
  </si>
  <si>
    <t>https://x.com/oishii_berry</t>
  </si>
  <si>
    <t>contact@oishiiberry.com</t>
  </si>
  <si>
    <t>+1 3478511760</t>
  </si>
  <si>
    <t>2026-05-28 23:36:28.68497+00</t>
  </si>
  <si>
    <t>renewcred</t>
  </si>
  <si>
    <t>RenewCred</t>
  </si>
  <si>
    <t>RenewCred is building India‚Äôs first fully digital, science-led carbon credit standard and registry that leverages live data and automated verification to create faster, cheaper and more trustworthy carbon markets.</t>
  </si>
  <si>
    <t>renewcred.com</t>
  </si>
  <si>
    <t>letsrenewcred</t>
  </si>
  <si>
    <t>https://pitchbook.com/profiles/company/656074-54</t>
  </si>
  <si>
    <t>info@renewcred.com</t>
  </si>
  <si>
    <t>2026-01-16 02:35:10.607501+00</t>
  </si>
  <si>
    <t>2026-05-28 23:36:28.678627+00</t>
  </si>
  <si>
    <t>pharmacity</t>
  </si>
  <si>
    <t>Pharmacity</t>
  </si>
  <si>
    <t>Pharmacity is a Vietnamese pharmacy retail chain.</t>
  </si>
  <si>
    <t>Ho Chi Minh City, NA - Vietnam, Vietnam, Asia</t>
  </si>
  <si>
    <t>pharmacity.vn</t>
  </si>
  <si>
    <t>https://pitchbook.com/profiles/company/267934-06</t>
  </si>
  <si>
    <t>cskh@pharmacity.vn</t>
  </si>
  <si>
    <t>+84 8 7307 6888</t>
  </si>
  <si>
    <t>2026-05-28 23:36:28.677643+00</t>
  </si>
  <si>
    <t>yes-sir</t>
  </si>
  <si>
    <t>Yes Sir</t>
  </si>
  <si>
    <t>Yes Sir is a Kolkata-based platform providing on-demand, men-only at-home massage and grooming services across India.</t>
  </si>
  <si>
    <t>yes-sir.in</t>
  </si>
  <si>
    <t>2026-05-28 23:36:28.676279+00</t>
  </si>
  <si>
    <t>reveng-ai</t>
  </si>
  <si>
    <t>reveng</t>
  </si>
  <si>
    <t>RevEng.AI</t>
  </si>
  <si>
    <t>RevEng.AI is a cybersecurity company that provides a binary-level software verification platform to analyze compiled executables, firmware, and third-party applications for hidden vulnerabilities and malicious functionality.</t>
  </si>
  <si>
    <t>reveng.ai</t>
  </si>
  <si>
    <t>https://pitchbook.com/profiles/company/516137-86</t>
  </si>
  <si>
    <t>https://x.com/RevEng_AI</t>
  </si>
  <si>
    <t>2026-05-28 23:36:28.659005+00</t>
  </si>
  <si>
    <t>captive-radiology</t>
  </si>
  <si>
    <t>Captive Radiology</t>
  </si>
  <si>
    <t>Captive Radiology is a turnkey diagnostic imaging solutions provider that handles project and operations management, staffing, quality assurance, and imaging equipment for healthcare partners.</t>
  </si>
  <si>
    <t>Canton, Ohio, United States, North America</t>
  </si>
  <si>
    <t>captiveradiology.com</t>
  </si>
  <si>
    <t>https://x.com/CaptiveRad</t>
  </si>
  <si>
    <t>info@captiveradiology.com</t>
  </si>
  <si>
    <t>+1 330 966 0500</t>
  </si>
  <si>
    <t>2026-05-28 20:06:36.869688+00</t>
  </si>
  <si>
    <t>msics-pharma</t>
  </si>
  <si>
    <t>MSICS Pharma</t>
  </si>
  <si>
    <t>MSICS Pharma is an Israeli company developing medical-grade technology to grow and produce psilocybin and advancing clinical-stage psilocybin therapies.</t>
  </si>
  <si>
    <t>msicspharma.com</t>
  </si>
  <si>
    <t>https://pitchbook.com/profiles/company/570794-14</t>
  </si>
  <si>
    <t>2026-05-03 16:00:41.463881+00</t>
  </si>
  <si>
    <t>2026-05-28 18:12:57.185039+00</t>
  </si>
  <si>
    <t>true-balance</t>
  </si>
  <si>
    <t>True Balance</t>
  </si>
  <si>
    <t>True Balance is a fintech platform that provides digital lending and payment services to underbanked and new-to-credit users across India.</t>
  </si>
  <si>
    <t>truebalance.io</t>
  </si>
  <si>
    <t>balancehero-india</t>
  </si>
  <si>
    <t>https://pitchbook.com/profiles/company/156130-93</t>
  </si>
  <si>
    <t>https://x.com/truebalance_app</t>
  </si>
  <si>
    <t>cs@balancehero.com</t>
  </si>
  <si>
    <t>(0120)-4001028</t>
  </si>
  <si>
    <t>2026-05-28 17:06:48.065513+00</t>
  </si>
  <si>
    <t>replit</t>
  </si>
  <si>
    <t>Replit</t>
  </si>
  <si>
    <t>Replit is a ‚Äúvibe-coding‚Äù startup that has pivoted from serving professional developers to empowering non-programmers with an accessible coding platform.</t>
  </si>
  <si>
    <t>replit.com</t>
  </si>
  <si>
    <t>repl-it</t>
  </si>
  <si>
    <t>https://pitchbook.com/profiles/company/113831-02</t>
  </si>
  <si>
    <t>https://x.com/replit</t>
  </si>
  <si>
    <t>contact@replit.com</t>
  </si>
  <si>
    <t>2026-05-28 16:25:45.907249+00</t>
  </si>
  <si>
    <t>proclus</t>
  </si>
  <si>
    <t>Proclus</t>
  </si>
  <si>
    <t>Proclus is a Vitry-sur-Seine‚Äìbased startup that recovers, tests and reconditions building and construction equipment for resale with guarantees.</t>
  </si>
  <si>
    <t>Vitry-sur-seine, Ile-de-France, France, Europe</t>
  </si>
  <si>
    <t>proclus.eco</t>
  </si>
  <si>
    <t>https://pitchbook.com/profiles/company/592488-19</t>
  </si>
  <si>
    <t>2026-04-03 23:01:54.450072+00</t>
  </si>
  <si>
    <t>2026-05-28 16:10:55.378514+00</t>
  </si>
  <si>
    <t>fairdeal</t>
  </si>
  <si>
    <t>fairdeal-market</t>
  </si>
  <si>
    <t>Fairdeal</t>
  </si>
  <si>
    <t>Fairdeal is a B2B quick commerce platform that delivers over 1,000 SKUs to kirana retailers via a dark store-led supply chain with a 60-minute delivery promise.</t>
  </si>
  <si>
    <t>fairdeal.market</t>
  </si>
  <si>
    <t>fdm-digital-solutions-pvt-ltd</t>
  </si>
  <si>
    <t>https://pitchbook.com/profiles/company/537220-45</t>
  </si>
  <si>
    <t>2025-08-12 20:00:28.729431+00</t>
  </si>
  <si>
    <t>2026-05-28 16:10:55.375613+00</t>
  </si>
  <si>
    <t>rightsline</t>
  </si>
  <si>
    <t>Rightsline</t>
  </si>
  <si>
    <t>Rightsline is a rights and royalties management software company that provides a unified platform for tracking rights, calculating royalties, and delivering audit-grade financial outputs for IP-intensive organizations.</t>
  </si>
  <si>
    <t>rightsline.com</t>
  </si>
  <si>
    <t>https://pitchbook.com/profiles/company/87814-45</t>
  </si>
  <si>
    <t>https://x.com/rightsline</t>
  </si>
  <si>
    <t>info@rightsline.com</t>
  </si>
  <si>
    <t>2026-05-28 16:10:55.374116+00</t>
  </si>
  <si>
    <t>rosarium-health</t>
  </si>
  <si>
    <t>Rosarium Health</t>
  </si>
  <si>
    <t>Rosarium Health is a startup that enables aging at home by coordinating in-home clinical assessments, home modification recommendations, installations and related administrative workflows.</t>
  </si>
  <si>
    <t>rosariumhealth.com</t>
  </si>
  <si>
    <t>rosariumhealth</t>
  </si>
  <si>
    <t>https://pitchbook.com/profiles/company/528176-17</t>
  </si>
  <si>
    <t>https://x.com/_accessrose</t>
  </si>
  <si>
    <t>support@rosariumhealth.com</t>
  </si>
  <si>
    <t>+1 (855) 650-0632</t>
  </si>
  <si>
    <t>2026-05-28 16:10:55.373864+00</t>
  </si>
  <si>
    <t>natural</t>
  </si>
  <si>
    <t>natural-ecff</t>
  </si>
  <si>
    <t>Natural</t>
  </si>
  <si>
    <t>Natural builds financial infrastructure that enables autonomous AI agents to securely initiate, authorize, and execute payments.</t>
  </si>
  <si>
    <t>natural.co</t>
  </si>
  <si>
    <t>naturalpay</t>
  </si>
  <si>
    <t>https://x.com/naturalpay</t>
  </si>
  <si>
    <t>hi@natural.co</t>
  </si>
  <si>
    <t>2025-10-23 16:30:29.957858+00</t>
  </si>
  <si>
    <t>2026-05-28 16:10:55.370056+00</t>
  </si>
  <si>
    <t>foundation-devices</t>
  </si>
  <si>
    <t>Foundation</t>
  </si>
  <si>
    <t>Foundation builds Human Authority Hardware‚Äîdedicated security devices and the Passport Prime programmable security platform running KeyOS.</t>
  </si>
  <si>
    <t>foundationdevices.com</t>
  </si>
  <si>
    <t>foundationdevices</t>
  </si>
  <si>
    <t>https://pitchbook.com/profiles/company/442540-45</t>
  </si>
  <si>
    <t>https://twitter.com/foundationdvcs</t>
  </si>
  <si>
    <t>hello@foundationdevices.com</t>
  </si>
  <si>
    <t>+1 617-283-8306</t>
  </si>
  <si>
    <t>2026-05-28 15:25:06.052366+00</t>
  </si>
  <si>
    <t>reppo-labs</t>
  </si>
  <si>
    <t>Reppo Labs</t>
  </si>
  <si>
    <t>Reppo Labs is a protocol that uses decentralized prediction markets and specialized Datanets to generate human-vetted, multimodal training data for AI, powered by the REPPO token.</t>
  </si>
  <si>
    <t>Grand Cayman, Midland, Cayman Islands, North America</t>
  </si>
  <si>
    <t>reppo.xyz</t>
  </si>
  <si>
    <t>reppoai</t>
  </si>
  <si>
    <t>https://pitchbook.com/profiles/company/592629-58</t>
  </si>
  <si>
    <t>https://x.com/Repponetwork</t>
  </si>
  <si>
    <t>rg@reppo.xyz</t>
  </si>
  <si>
    <t>778-628-6094</t>
  </si>
  <si>
    <t>2025-07-21 00:39:32.085196+00</t>
  </si>
  <si>
    <t>2026-05-28 14:23:12.436539+00</t>
  </si>
  <si>
    <t>chaozhi</t>
  </si>
  <si>
    <t>Chaozhi</t>
  </si>
  <si>
    <t>Chaozhi is a Chinese AI computing startup that builds advanced computing cluster platforms providing GPU resources and integrated solutions for the artificial intelligence industry.</t>
  </si>
  <si>
    <t>2026-05-03 12:00:40.100414+00</t>
  </si>
  <si>
    <t>2026-05-28 14:23:12.367361+00</t>
  </si>
  <si>
    <t>airmdr</t>
  </si>
  <si>
    <t>AirMDR</t>
  </si>
  <si>
    <t>AirMDR operates an AI-native managed detection and response platform combining autonomous AI analysts with 24/7 human experts to triage, investigate, and remediate alerts across 200+ integrations.</t>
  </si>
  <si>
    <t>Menlo Park, California, United States, North America</t>
  </si>
  <si>
    <t>airmdr.com</t>
  </si>
  <si>
    <t>https://pitchbook.com/profiles/company/535113-37</t>
  </si>
  <si>
    <t>https://twitter.com/AirMDR_Company</t>
  </si>
  <si>
    <t>2026-05-28 14:08:27.707774+00</t>
  </si>
  <si>
    <t>farther</t>
  </si>
  <si>
    <t>farther-finance</t>
  </si>
  <si>
    <t>Farther</t>
  </si>
  <si>
    <t>Farther is an Intelligent Wealth Management platform that provides advisors an all-in-one ecosystem for wealth management, including AI-driven tools and access to private markets.</t>
  </si>
  <si>
    <t>farther.com</t>
  </si>
  <si>
    <t>fartherfinance</t>
  </si>
  <si>
    <t>https://pitchbook.com/profiles/company/338656-51</t>
  </si>
  <si>
    <t>https://twitter.com/FartherFinance</t>
  </si>
  <si>
    <t>hello@farther.com</t>
  </si>
  <si>
    <t>855 714 6327</t>
  </si>
  <si>
    <t>2026-05-28 13:30:41.088463+00</t>
  </si>
  <si>
    <t>fresha</t>
  </si>
  <si>
    <t>Fresha</t>
  </si>
  <si>
    <t>Fresha is a London-based beauty and wellness booking marketplace that connects salons and professionals with customers and manages scheduling.</t>
  </si>
  <si>
    <t>fresha.com</t>
  </si>
  <si>
    <t>heyfresha</t>
  </si>
  <si>
    <t>https://pitchbook.com/profiles/company/168166-45</t>
  </si>
  <si>
    <t>https://x.com/heyfresha</t>
  </si>
  <si>
    <t>info@fresha.com</t>
  </si>
  <si>
    <t>2026-05-28 13:30:39.711217+00</t>
  </si>
  <si>
    <t>the-small-market</t>
  </si>
  <si>
    <t>The Small Market</t>
  </si>
  <si>
    <t>The Small Market is a startup that operates autonomous minimarkets inside residential condominiums using proprietary software and AI for curation and pricing.</t>
  </si>
  <si>
    <t>thesmallmarket.com</t>
  </si>
  <si>
    <t>2026-05-28 13:30:33.838498+00</t>
  </si>
  <si>
    <t>adenocyte</t>
  </si>
  <si>
    <t>Adenocyte</t>
  </si>
  <si>
    <t>Adenocyte is a medical diagnostics company developing LINFU, a cytological sampling platform for early detection of pancreatic cancer.</t>
  </si>
  <si>
    <t>adenocyte.com</t>
  </si>
  <si>
    <t>https://pitchbook.com/profiles/company/1396580-68</t>
  </si>
  <si>
    <t>contact@adenocyte.com</t>
  </si>
  <si>
    <t>2026-05-26 14:00:43.964757+00</t>
  </si>
  <si>
    <t>2026-05-28 13:30:32.995042+00</t>
  </si>
  <si>
    <t>sandwiche</t>
  </si>
  <si>
    <t>Sandwiche</t>
  </si>
  <si>
    <t>Sandwiche is a creator marketing platform that connects brands with nano and micro creators and operates a store-in-bio product and matchmaking tools.</t>
  </si>
  <si>
    <t>sandwiche.me</t>
  </si>
  <si>
    <t>https://pitchbook.com/profiles/company/711528-13</t>
  </si>
  <si>
    <t>contato@sdwc.me</t>
  </si>
  <si>
    <t>2026-05-16 08:00:43.062451+00</t>
  </si>
  <si>
    <t>2026-05-28 13:30:32.741258+00</t>
  </si>
  <si>
    <t>chromie-health</t>
  </si>
  <si>
    <t>Chromie Health</t>
  </si>
  <si>
    <t>Chromie Health is a NYC-based developer of AI-powered, SMS-first scheduling and workforce management platforms for hospitals.</t>
  </si>
  <si>
    <t>chromiehealth.com</t>
  </si>
  <si>
    <t>chromiehealth</t>
  </si>
  <si>
    <t>https://pitchbook.com/profiles/company/712705-42</t>
  </si>
  <si>
    <t>800-646-3187</t>
  </si>
  <si>
    <t>2026-05-15 09:00:47.119233+00</t>
  </si>
  <si>
    <t>2026-05-28 13:30:32.485585+00</t>
  </si>
  <si>
    <t>cable-1</t>
  </si>
  <si>
    <t>Cable</t>
  </si>
  <si>
    <t>Cable is a Sydney-based renewable energy startup building battery-backed distributed energy solutions for small businesses.</t>
  </si>
  <si>
    <t>2026-05-28 13:30:32.420706+00</t>
  </si>
  <si>
    <t>five-ages</t>
  </si>
  <si>
    <t>Five Ages</t>
  </si>
  <si>
    <t>Five Ages (‰∏≠ÁßëÁ¨¨‰∫îÁ∫™) develops embodied intelligence solutions combining an "embodied brain" (large models) with self-developed robotic hardware for industrial, logistics, retail, and inspection scenarios.</t>
  </si>
  <si>
    <t>2026-05-28 13:30:31.911737+00</t>
  </si>
  <si>
    <t>oli</t>
  </si>
  <si>
    <t>Oli</t>
  </si>
  <si>
    <t>Oli is a medtech startup that develops a wireless wearable maternal and fetal monitoring device and a Maternal Intelligence Platform to predict birth complications.</t>
  </si>
  <si>
    <t>2026-05-28 13:30:31.845183+00</t>
  </si>
  <si>
    <t>atom-1</t>
  </si>
  <si>
    <t>ATOM</t>
  </si>
  <si>
    <t>ATOM is a Tokyo-based startup developing bipedal, dual-armed humanoid AI robots for manufacturing and logistics.</t>
  </si>
  <si>
    <t>2026-05-28 13:30:31.706788+00</t>
  </si>
  <si>
    <t>caudal-energy</t>
  </si>
  <si>
    <t>Caudal Energy</t>
  </si>
  <si>
    <t>Caudal Energy develops modular, fin-inspired tidal power systems that generate predictable renewable electricity from mid-flow tidal sites.</t>
  </si>
  <si>
    <t>caudal.com</t>
  </si>
  <si>
    <t>2026-05-28 13:30:31.358085+00</t>
  </si>
  <si>
    <t>tomorrow.io</t>
  </si>
  <si>
    <t>climacell</t>
  </si>
  <si>
    <t>Tomorrow.io</t>
  </si>
  <si>
    <t>Tomorrow.io is a Resilience Platform that provides AI-driven weather intelligence through space-based observation, advanced weather modeling, and a generative AI‚Äìintegrated forecasting engine.</t>
  </si>
  <si>
    <t>tomorrow-io</t>
  </si>
  <si>
    <t>https://pitchbook.com/profiles/company/166556-35</t>
  </si>
  <si>
    <t>https://x.com/tomorrowio_</t>
  </si>
  <si>
    <t>sales@tomorrow.io</t>
  </si>
  <si>
    <t>2026-05-28 13:05:08.078051+00</t>
  </si>
  <si>
    <t>peec-ai</t>
  </si>
  <si>
    <t>Peec AI</t>
  </si>
  <si>
    <t>Peec AI provides brands with analytics and optimization tools to monitor and improve their visibility and sentiment in AI-powered search results like ChatGPT.</t>
  </si>
  <si>
    <t>peec.ai</t>
  </si>
  <si>
    <t>https://pitchbook.com/profiles/company/741876-13</t>
  </si>
  <si>
    <t>hello@peec.ai</t>
  </si>
  <si>
    <t>2025-07-29 08:15:13.81288+00</t>
  </si>
  <si>
    <t>2026-05-28 13:04:51.31595+00</t>
  </si>
  <si>
    <t>skyroot-aerospace</t>
  </si>
  <si>
    <t>Skyroot Aerospace</t>
  </si>
  <si>
    <t>Skyroot Aerospace is an Indian private space-technology company.</t>
  </si>
  <si>
    <t>skyroot.in</t>
  </si>
  <si>
    <t>https://pitchbook.com/profiles/company/294402-52</t>
  </si>
  <si>
    <t>https://x.com/skyroota</t>
  </si>
  <si>
    <t>info@skyroot.in</t>
  </si>
  <si>
    <t>2026-05-28 12:32:23.407667+00</t>
  </si>
  <si>
    <t>unknown-5</t>
  </si>
  <si>
    <t>Unknown</t>
  </si>
  <si>
    <t>Unknown company is a high-growth startup that offered Series A equity at $2 per share.</t>
  </si>
  <si>
    <t>2026-05-23 23:01:42.490604+00</t>
  </si>
  <si>
    <t>2026-05-28 12:27:17.23852+00</t>
  </si>
  <si>
    <t>amp-2</t>
  </si>
  <si>
    <t>Amp</t>
  </si>
  <si>
    <t>Amp is a Menlo Park‚Äìbased startup that acquires surplus data-center computing capacity and pools specialized chips for access by AI startups, research institutions and other organizations.</t>
  </si>
  <si>
    <t>2026-05-28 12:27:17.108157+00</t>
  </si>
  <si>
    <t>ozak-ai</t>
  </si>
  <si>
    <t>Ozak AI</t>
  </si>
  <si>
    <t>Ozak AI is a blockchain-based crypto project that uses predictive artificial intelligence and advanced analytics for financial markets.</t>
  </si>
  <si>
    <t>ozak.ai</t>
  </si>
  <si>
    <t>https://x.com/OzakAGI</t>
  </si>
  <si>
    <t>support@ozak.ai</t>
  </si>
  <si>
    <t>2026-05-28 12:27:16.666558+00</t>
  </si>
  <si>
    <t>united-learning-league-1</t>
  </si>
  <si>
    <t>United Learning League</t>
  </si>
  <si>
    <t>United Learning League is an edtech startup that operates an AI-powered education platform offering personalized learning and adaptive assessments.</t>
  </si>
  <si>
    <t>2026-05-24 11:00:34.953877+00</t>
  </si>
  <si>
    <t>2026-05-28 12:27:16.595998+00</t>
  </si>
  <si>
    <t>healthcare-startup</t>
  </si>
  <si>
    <t>Healthcare Startup</t>
  </si>
  <si>
    <t>Early-stage healthcare startup seeking a $100K angel round to convert enterprise-level pilots into revenue and accelerate growth through industry partnerships and conferences.</t>
  </si>
  <si>
    <t>2026-05-28 12:27:16.525709+00</t>
  </si>
  <si>
    <t>lenabo</t>
  </si>
  <si>
    <t>Lenabo</t>
  </si>
  <si>
    <t>Lenabo is an EdTech startup that builds a smart audio system‚Äîan intelligent speaker embedded in plush figures‚Äîto deliver age-appropriate stories, lullabies, and learning content for children.</t>
  </si>
  <si>
    <t>lenabo.com</t>
  </si>
  <si>
    <t>https://pitchbook.com/profiles/company/690993-55</t>
  </si>
  <si>
    <t>2026-05-28 12:27:16.455443+00</t>
  </si>
  <si>
    <t>argos-watch</t>
  </si>
  <si>
    <t>argos-watches</t>
  </si>
  <si>
    <t>Argos Watch</t>
  </si>
  <si>
    <t>Argos Watch is an Indian direct-to-consumer maker of mechanical automatic wristwatches priced in the mid-market.</t>
  </si>
  <si>
    <t>Surat, Gujarat, India, Asia</t>
  </si>
  <si>
    <t>argoswatch.in</t>
  </si>
  <si>
    <t>argoswatch</t>
  </si>
  <si>
    <t>https://pitchbook.com/profiles/company/770184-01</t>
  </si>
  <si>
    <t>https://x.com/ArgosWatches</t>
  </si>
  <si>
    <t>support@argoswatch.in</t>
  </si>
  <si>
    <t>022 6971 3785</t>
  </si>
  <si>
    <t>2026-05-28 12:27:16.197059+00</t>
  </si>
  <si>
    <t>arc-blockchain</t>
  </si>
  <si>
    <t>ARC blockchain</t>
  </si>
  <si>
    <t>ARC blockchain is a corporate-focused blockchain developed under Circle that provides stablecoin-based settlement, FX infrastructure and programmable payment rails.</t>
  </si>
  <si>
    <t>arc.io</t>
  </si>
  <si>
    <t>https://pitchbook.com/profiles/company/556685-20</t>
  </si>
  <si>
    <t>2026-05-28 12:27:16.125379+00</t>
  </si>
  <si>
    <t>safaristays</t>
  </si>
  <si>
    <t>SafariStays</t>
  </si>
  <si>
    <t>SafariStays is a company that announced a seed round in Western Cape, South Africa.</t>
  </si>
  <si>
    <t>safaristays.com</t>
  </si>
  <si>
    <t>2026-05-28 12:27:15.86015+00</t>
  </si>
  <si>
    <t>kinetics</t>
  </si>
  <si>
    <t>kinetics-f6ea</t>
  </si>
  <si>
    <t>Kinetics</t>
  </si>
  <si>
    <t>Kinetics Energies is the company formed in 2024 to consolidate Karpowership's LNG shipping operations and operate floating LNG terminals and related logistics.</t>
  </si>
  <si>
    <t>kineticsenergies.com</t>
  </si>
  <si>
    <t>2026-05-28 12:27:15.765577+00</t>
  </si>
  <si>
    <t>biotech-one</t>
  </si>
  <si>
    <t>Biotech One</t>
  </si>
  <si>
    <t>Biotech One is a deeptech company developing supercritical CO‚ÇÇ processes and the EncapX encapsulation platform for pharmaceutical, cosmetic, nutraceutical and food applications.</t>
  </si>
  <si>
    <t>biotech-one.com</t>
  </si>
  <si>
    <t>https://pitchbook.com/profiles/company/1314521-56</t>
  </si>
  <si>
    <t>2026-04-10 15:00:38.435281+00</t>
  </si>
  <si>
    <t>2026-05-28 12:05:27.86613+00</t>
  </si>
  <si>
    <t>tomorrow-bio</t>
  </si>
  <si>
    <t>Tomorrow.Bio</t>
  </si>
  <si>
    <t>Tomorrow.Bio runs standby teams and cryo‚Äëambulances that initiate cooling, administer cryoprotectant, and transport patients to a Swiss storage facility housing individuals in vacuum‚Äëinsulated liquid‚Äënitrogen dewars.</t>
  </si>
  <si>
    <t>tomorrow.bio</t>
  </si>
  <si>
    <t>tomorrow-biostasis</t>
  </si>
  <si>
    <t>https://pitchbook.com/profiles/company/459671-77</t>
  </si>
  <si>
    <t>+49 30 62922609</t>
  </si>
  <si>
    <t>2025-07-25 23:26:54.532553+00</t>
  </si>
  <si>
    <t>2026-05-28 12:05:27.864576+00</t>
  </si>
  <si>
    <t>variational</t>
  </si>
  <si>
    <t>Variational</t>
  </si>
  <si>
    <t>Variational is a peer-to-peer on-chain derivatives trading protocol and liquidity aggregator powering perpetuals and generalized derivatives.</t>
  </si>
  <si>
    <t>George Town, Midland, Cayman Islands, North America</t>
  </si>
  <si>
    <t>variational.io</t>
  </si>
  <si>
    <t>https://pitchbook.com/profiles/company/493797-52</t>
  </si>
  <si>
    <t>hello@variational.io</t>
  </si>
  <si>
    <t>2026-05-28 11:53:38.221078+00</t>
  </si>
  <si>
    <t>flickart</t>
  </si>
  <si>
    <t>flick-art</t>
  </si>
  <si>
    <t>FlickArt</t>
  </si>
  <si>
    <t>Flick is an AI-native film production platform that gives filmmakers filmic control, non-linear workflows and iterative creative tools to produce AI-generated films.</t>
  </si>
  <si>
    <t>flick.art</t>
  </si>
  <si>
    <t>contact@flick.art</t>
  </si>
  <si>
    <t>2026-05-15 05:00:39.955434+00</t>
  </si>
  <si>
    <t>2026-05-28 11:53:28.947673+00</t>
  </si>
  <si>
    <t>surff</t>
  </si>
  <si>
    <t>surff-d918</t>
  </si>
  <si>
    <t>Surff</t>
  </si>
  <si>
    <t>Surff is a data startup building an infrastructure layer for consented, structured browsing "decision data" for brands and product teams.</t>
  </si>
  <si>
    <t>surff.io</t>
  </si>
  <si>
    <t>surff-io</t>
  </si>
  <si>
    <t>2026-05-28 11:53:27.685424+00</t>
  </si>
  <si>
    <t>acl-energy</t>
  </si>
  <si>
    <t>ACL Energy</t>
  </si>
  <si>
    <t>ACL Energy is an independent developer of battery energy storage systems (BESS) in Italy with over 5 GW of total capacity.</t>
  </si>
  <si>
    <t>acl-energy.com</t>
  </si>
  <si>
    <t>aclenergy</t>
  </si>
  <si>
    <t>info@acl-energy.com</t>
  </si>
  <si>
    <t>2026-05-28 11:53:27.369091+00</t>
  </si>
  <si>
    <t>feral-x-systems</t>
  </si>
  <si>
    <t>Feral X Systems</t>
  </si>
  <si>
    <t>Feral X Systems Inc. is a Canadian defence research, development and manufacturing company.</t>
  </si>
  <si>
    <t>2026-05-02 23:02:36.068571+00</t>
  </si>
  <si>
    <t>2026-05-28 11:53:26.974989+00</t>
  </si>
  <si>
    <t>sommos</t>
  </si>
  <si>
    <t>Sommos</t>
  </si>
  <si>
    <t>Sommos is an AI company that helps families record voices, answer daily story prompts, organize stories by person and theme, and preserve intergenerational narratives.</t>
  </si>
  <si>
    <t>sommos.live</t>
  </si>
  <si>
    <t>sommosapp</t>
  </si>
  <si>
    <t>https://pitchbook.com/profiles/company/762730-12</t>
  </si>
  <si>
    <t>2026-05-28 11:53:26.660025+00</t>
  </si>
  <si>
    <t>techlanz</t>
  </si>
  <si>
    <t>TechLanz</t>
  </si>
  <si>
    <t>TechLanz develops batteries for drone systems under its Vouwl platform.</t>
  </si>
  <si>
    <t>techlanz.com</t>
  </si>
  <si>
    <t>2026-05-28 11:53:26.58938+00</t>
  </si>
  <si>
    <t>lpu-online</t>
  </si>
  <si>
    <t>LPU Online</t>
  </si>
  <si>
    <t>LPU Online is Lovely Professional University‚Äôs UGC-entitled online BBA programme.</t>
  </si>
  <si>
    <t>lpuonline.com</t>
  </si>
  <si>
    <t>lpuonline</t>
  </si>
  <si>
    <t>2026-05-28 11:53:26.38185+00</t>
  </si>
  <si>
    <t>fractile</t>
  </si>
  <si>
    <t>fractile-dd0e</t>
  </si>
  <si>
    <t>Fractile</t>
  </si>
  <si>
    <t>Fractile is a UK AI hardware startup building next-generation inference chips and systems for frontier AI.</t>
  </si>
  <si>
    <t>fractile.ai</t>
  </si>
  <si>
    <t>https://pitchbook.com/profiles/company/536015-98</t>
  </si>
  <si>
    <t>2026-05-28 11:49:40.625533+00</t>
  </si>
  <si>
    <t>navanc</t>
  </si>
  <si>
    <t>Navanc</t>
  </si>
  <si>
    <t>Navanc is an AI-native banking infrastructure company that provides explainable AI solutions for property-risk assessment and underwriting in secured lending.</t>
  </si>
  <si>
    <t>navanc.com</t>
  </si>
  <si>
    <t>https://pitchbook.com/profiles/company/499926-70</t>
  </si>
  <si>
    <t>hello@navanc.com</t>
  </si>
  <si>
    <t>2025-11-26 00:30:25.330269+00</t>
  </si>
  <si>
    <t>2026-05-28 11:17:05.431381+00</t>
  </si>
  <si>
    <t>socket</t>
  </si>
  <si>
    <t>socket-741b</t>
  </si>
  <si>
    <t>Socket</t>
  </si>
  <si>
    <t>Socket is a cybersecurity startup that sells technology to safeguard open-source code against hackers.</t>
  </si>
  <si>
    <t>Stanford, California, United States, North America</t>
  </si>
  <si>
    <t>socket.dev</t>
  </si>
  <si>
    <t>socketinc</t>
  </si>
  <si>
    <t>https://pitchbook.com/profiles/company/494176-51</t>
  </si>
  <si>
    <t>https://twitter.com/SocketSecurity</t>
  </si>
  <si>
    <t>support@socket.dev</t>
  </si>
  <si>
    <t>2026-05-28 11:15:26.537943+00</t>
  </si>
  <si>
    <t>henry-1</t>
  </si>
  <si>
    <t>henry-733a</t>
  </si>
  <si>
    <t>Henry</t>
  </si>
  <si>
    <t>Henry is a cloud-native core system for hospitals that integrates electronic medical records, ordering, and billing.</t>
  </si>
  <si>
    <t>henry.jp</t>
  </si>
  <si>
    <t>henry-inc</t>
  </si>
  <si>
    <t>https://x.com/henryappjp</t>
  </si>
  <si>
    <t>sales@bw-company.com</t>
  </si>
  <si>
    <t>+81 3-6773-5778</t>
  </si>
  <si>
    <t>2025-08-14 14:26:28.383412+00</t>
  </si>
  <si>
    <t>2026-05-28 11:15:26.536368+00</t>
  </si>
  <si>
    <t>playerdata</t>
  </si>
  <si>
    <t>PlayerData</t>
  </si>
  <si>
    <t>PlayerData is a Scotland-founded sports performance data company that builds wearable GPS trackers, connected balls, and AI-linked video capture tools for teams, academies, and officials.</t>
  </si>
  <si>
    <t>Edinburgh, Edinburgh, City of, United Kingdom, Europe</t>
  </si>
  <si>
    <t>playerdata.com</t>
  </si>
  <si>
    <t>https://pitchbook.com/profiles/company/434848-24</t>
  </si>
  <si>
    <t>lara@playerdata.co.uk</t>
  </si>
  <si>
    <t>2026-05-28 11:14:29.158018+00</t>
  </si>
  <si>
    <t>series-1</t>
  </si>
  <si>
    <t>the-founder-series</t>
  </si>
  <si>
    <t>Series</t>
  </si>
  <si>
    <t>Series is an AI social network that runs inside iMessage to turn text threads into a discovery and introduction layer.</t>
  </si>
  <si>
    <t>series.so</t>
  </si>
  <si>
    <t>joinseries</t>
  </si>
  <si>
    <t>https://pitchbook.com/profiles/company/607885-75</t>
  </si>
  <si>
    <t>Nathaneo.Johnson@yale.edu</t>
  </si>
  <si>
    <t>2026-05-28 11:14:29.15301+00</t>
  </si>
  <si>
    <t>hrdwyr</t>
  </si>
  <si>
    <t>HrdWyr</t>
  </si>
  <si>
    <t>HrdWyr is a fabless semiconductor startup that builds AI-native System-on-Chip (AISoC) chips for edge computing and physical AI applications.</t>
  </si>
  <si>
    <t>hrdwyr.com</t>
  </si>
  <si>
    <t>https://pitchbook.com/profiles/company/597119-32</t>
  </si>
  <si>
    <t>2026-05-12 12:00:38.663141+00</t>
  </si>
  <si>
    <t>2026-05-28 11:14:29.152248+00</t>
  </si>
  <si>
    <t>balcony</t>
  </si>
  <si>
    <t>balcony-technology</t>
  </si>
  <si>
    <t>Balcony</t>
  </si>
  <si>
    <t>Balcony builds digital rails ‚Äî modern data infrastructure and a connected data layer ‚Äî for U.S. property records and the real estate market.</t>
  </si>
  <si>
    <t>balcony.technology</t>
  </si>
  <si>
    <t>https://pitchbook.com/profiles/company/535043-53</t>
  </si>
  <si>
    <t>hello@balcony.technology</t>
  </si>
  <si>
    <t>2026-05-28 11:14:29.148871+00</t>
  </si>
  <si>
    <t>m2-foundry</t>
  </si>
  <si>
    <t>M2 Foundry</t>
  </si>
  <si>
    <t>M2 Foundry is a dual-use software company that builds, funds, and transitions technology for national security and complex private sector systems.</t>
  </si>
  <si>
    <t>m2foundry.com</t>
  </si>
  <si>
    <t>2026-05-28 11:14:29.148668+00</t>
  </si>
  <si>
    <t>mind-robotics</t>
  </si>
  <si>
    <t>Mind Robotics</t>
  </si>
  <si>
    <t>Mind Robotics is a Rivian spinoff developing industrial robotics to automate factory operations.</t>
  </si>
  <si>
    <t>mindrobotics.com</t>
  </si>
  <si>
    <t>mindrobotics</t>
  </si>
  <si>
    <t>https://pitchbook.com/profiles/company/1158747-31</t>
  </si>
  <si>
    <t>https://x.com/mind_robotics</t>
  </si>
  <si>
    <t>info@mindroboticslab.com</t>
  </si>
  <si>
    <t>2025-11-04 23:30:34.514281+00</t>
  </si>
  <si>
    <t>2026-05-28 11:14:29.141372+00</t>
  </si>
  <si>
    <t>robbin</t>
  </si>
  <si>
    <t>Robbin</t>
  </si>
  <si>
    <t>Robbin is a fintech that provides credit and payments solutions to the supplier and retail chain, enabling retailers to parcel purchases with manufacturers.</t>
  </si>
  <si>
    <t>robbin.com.br</t>
  </si>
  <si>
    <t>cartaorobbin</t>
  </si>
  <si>
    <t>https://pitchbook.com/profiles/company/537553-45</t>
  </si>
  <si>
    <t>2026-05-21 18:00:40.745964+00</t>
  </si>
  <si>
    <t>2026-05-28 11:14:29.14013+00</t>
  </si>
  <si>
    <t>mathew</t>
  </si>
  <si>
    <t>mathew-eb09</t>
  </si>
  <si>
    <t>Mathew</t>
  </si>
  <si>
    <t>Mathew is an edtech startup that uses artificial intelligence to help educators create materials, evaluate exams and track student progress.</t>
  </si>
  <si>
    <t>Sant Cugat Del Vall√®s, Catalonia, Spain, Europe</t>
  </si>
  <si>
    <t>mathew.ai</t>
  </si>
  <si>
    <t>adaptical</t>
  </si>
  <si>
    <t>support@mathew.ai</t>
  </si>
  <si>
    <t>2026-05-28 11:14:29.13964+00</t>
  </si>
  <si>
    <t>tekever</t>
  </si>
  <si>
    <t>TEKEVER</t>
  </si>
  <si>
    <t>Tekever designs, manufactures and operates AI-enabled unmanned aerial systems and intelligence-as-a-service, integrating airframes, propulsion, sensors, avionics, satellite communications and edge AI for maritime and land surveillance.</t>
  </si>
  <si>
    <t>Lisboa, Lisboa, Portugal, Europe</t>
  </si>
  <si>
    <t>tekever.com</t>
  </si>
  <si>
    <t>https://pitchbook.com/profiles/company/95136-67</t>
  </si>
  <si>
    <t>http://twitter.com/tekever</t>
  </si>
  <si>
    <t>info@tekever.com</t>
  </si>
  <si>
    <t>2026-05-28 11:14:29.138391+00</t>
  </si>
  <si>
    <t>franq</t>
  </si>
  <si>
    <t>franq-openbank</t>
  </si>
  <si>
    <t>Franq</t>
  </si>
  <si>
    <t>Franq is a fintech platform that enables experienced bank professionals to operate as independent personal bankers by aggregating products from multiple banks and fintechs.</t>
  </si>
  <si>
    <t>Florian√≥polis, Santa Catarina, Brazil, South America</t>
  </si>
  <si>
    <t>franq.com.br</t>
  </si>
  <si>
    <t>franq-oficial</t>
  </si>
  <si>
    <t>https://pitchbook.com/profiles/company/460125-73</t>
  </si>
  <si>
    <t>https://x.com/franqopenbank</t>
  </si>
  <si>
    <t>contato@franq.com.br</t>
  </si>
  <si>
    <t>+55 48 98839-4256</t>
  </si>
  <si>
    <t>2026-05-07 20:00:38.620616+00</t>
  </si>
  <si>
    <t>2026-05-28 10:55:25.110719+00</t>
  </si>
  <si>
    <t>gaia-1</t>
  </si>
  <si>
    <t>gaia-family</t>
  </si>
  <si>
    <t>Gaia</t>
  </si>
  <si>
    <t>Gaia is a New York-based fertility startup that bundles AI-powered clinic matching with outcome-protected financing.</t>
  </si>
  <si>
    <t>gaiafamily.com</t>
  </si>
  <si>
    <t>gaiafamily</t>
  </si>
  <si>
    <t>https://pitchbook.com/profiles/company/462678-40</t>
  </si>
  <si>
    <t>https://x.com/wearegaiafamily</t>
  </si>
  <si>
    <t>hello@gaia.family</t>
  </si>
  <si>
    <t>2026-05-28 10:28:44.428725+00</t>
  </si>
  <si>
    <t>equipifi</t>
  </si>
  <si>
    <t>equipifi is a fintech company that enables banks and credit unions to offer flexible payments and Buy Now, Pay Later natively within their digital banking platforms.</t>
  </si>
  <si>
    <t>Scottsdale, Arizona, United States, North America</t>
  </si>
  <si>
    <t>equipifi.com</t>
  </si>
  <si>
    <t>https://pitchbook.com/profiles/company/481447-27</t>
  </si>
  <si>
    <t>https://twitter.com/EquipiFi</t>
  </si>
  <si>
    <t>info@equipifi.com</t>
  </si>
  <si>
    <t>2026-05-28 09:40:09.298812+00</t>
  </si>
  <si>
    <t>lastwall</t>
  </si>
  <si>
    <t>lastwall-networks-inc</t>
  </si>
  <si>
    <t>Lastwall</t>
  </si>
  <si>
    <t>Lastwall is an identity verification software company that provides adaptive authentication and user-identity risk assessment for government and critical-infrastructure operators.</t>
  </si>
  <si>
    <t>Mountain View, California, United States, North America</t>
  </si>
  <si>
    <t>lastwall.com</t>
  </si>
  <si>
    <t>https://pitchbook.com/profiles/company/111660-49</t>
  </si>
  <si>
    <t>chandler@lastwall.com</t>
  </si>
  <si>
    <t>2026-05-28 09:16:44.282625+00</t>
  </si>
  <si>
    <t>fifth-dimension</t>
  </si>
  <si>
    <t>fifth-dimension-ai</t>
  </si>
  <si>
    <t>Fifth Dimension</t>
  </si>
  <si>
    <t>Fifth Dimension is a London-based startup that provides decision intelligence for real-assets investors and managers using an agentic AI-powered intelligence layer.</t>
  </si>
  <si>
    <t>fifthdimensionai.com</t>
  </si>
  <si>
    <t>5dai</t>
  </si>
  <si>
    <t>https://pitchbook.com/profiles/company/536005-99</t>
  </si>
  <si>
    <t>info@fifthdimensionai.com</t>
  </si>
  <si>
    <t>2026-05-11 14:00:47.261944+00</t>
  </si>
  <si>
    <t>2026-05-28 09:13:48.854468+00</t>
  </si>
  <si>
    <t>texas-biotech</t>
  </si>
  <si>
    <t>texas-biotechnology</t>
  </si>
  <si>
    <t>Texas biotech</t>
  </si>
  <si>
    <t>Texas biotech develops PetroX Boost, a production enhancement solution designed to increase oil recovery from shale wells.</t>
  </si>
  <si>
    <t>Richmond, Texas, United States, North America</t>
  </si>
  <si>
    <t>texasbiotech.com</t>
  </si>
  <si>
    <t>texasbiotech</t>
  </si>
  <si>
    <t>info@texasbiotech.com</t>
  </si>
  <si>
    <t>+1 346 707 8660</t>
  </si>
  <si>
    <t>2026-05-28 08:58:01.193683+00</t>
  </si>
  <si>
    <t>happl</t>
  </si>
  <si>
    <t>Happl</t>
  </si>
  <si>
    <t>Happl is an employee benefits platform that uses AI to simplify and modernize benefits administration across multiple countries.</t>
  </si>
  <si>
    <t>happl.com</t>
  </si>
  <si>
    <t>https://pitchbook.com/profiles/company/455207-95</t>
  </si>
  <si>
    <t>https://twitter.com/joinHappl</t>
  </si>
  <si>
    <t>hello@happl.com</t>
  </si>
  <si>
    <t>2026-05-28 08:57:58.547015+00</t>
  </si>
  <si>
    <t>major-league-table-tennis</t>
  </si>
  <si>
    <t>Major League Table Tennis</t>
  </si>
  <si>
    <t>Major League Table Tennis is a professional table tennis league that operates teams and streams matches on its Table Tennis TV service.</t>
  </si>
  <si>
    <t>America, Alabama, United States, North America</t>
  </si>
  <si>
    <t>mltt.com</t>
  </si>
  <si>
    <t>https://pitchbook.com/profiles/company/711266-77</t>
  </si>
  <si>
    <t>https://x.com/MajorLeagueTT</t>
  </si>
  <si>
    <t>2026-05-28 08:55:18.815759+00</t>
  </si>
  <si>
    <t>baymatob</t>
  </si>
  <si>
    <t>Baymatob</t>
  </si>
  <si>
    <t>Baymatob is a maternal‚Äìfetal diagnostics platform developing Oli, a wireless wearable that monitors maternal and fetal signals.</t>
  </si>
  <si>
    <t>Leichhardt, New South Wales, Australia, Oceania</t>
  </si>
  <si>
    <t>baymatob.com</t>
  </si>
  <si>
    <t>https://pitchbook.com/profiles/company/493997-59</t>
  </si>
  <si>
    <t>https://twitter.com/baymatob</t>
  </si>
  <si>
    <t>info@baymatob.com</t>
  </si>
  <si>
    <t>+61 2 8971 7412</t>
  </si>
  <si>
    <t>2026-05-28 08:46:28.491963+00</t>
  </si>
  <si>
    <t>xfuel</t>
  </si>
  <si>
    <t>XFuel</t>
  </si>
  <si>
    <t>XFuel is a low-carbon fuel innovator using proprietary Chemical Liquid Refining (CLR ‚Äì CLEAR) technology to convert waste hydrocarbon liquids into drop-in transport fuels.</t>
  </si>
  <si>
    <t>xfuel.com</t>
  </si>
  <si>
    <t>xfuelhq</t>
  </si>
  <si>
    <t>https://pitchbook.com/profiles/company/464028-04</t>
  </si>
  <si>
    <t>https://x.com/xfuelhq</t>
  </si>
  <si>
    <t>info@xfuel.com</t>
  </si>
  <si>
    <t>2026-05-28 08:33:17.191946+00</t>
  </si>
  <si>
    <t>sbi-growth</t>
  </si>
  <si>
    <t>sbi-the-growth-advisory</t>
  </si>
  <si>
    <t>SBI Growth</t>
  </si>
  <si>
    <t>SBI Growth Advisory is a go-to-market advisory that combines GTM strategy, operations, training, and proprietary benchmark data to improve B2B revenue performance.</t>
  </si>
  <si>
    <t>sbigrowth.com</t>
  </si>
  <si>
    <t>sbi-growth-advisory</t>
  </si>
  <si>
    <t>https://pitchbook.com/profiles/advisor/118392-94</t>
  </si>
  <si>
    <t>https://x.com/sbigrowth</t>
  </si>
  <si>
    <t>2026-05-28 07:55:29.835691+00</t>
  </si>
  <si>
    <t>coco-coders</t>
  </si>
  <si>
    <t>Coco Coders</t>
  </si>
  <si>
    <t>Coco Coders is a live online coding and AI literacy program providing instructor-led classes for children ages 6 to 14.</t>
  </si>
  <si>
    <t>Incline Village, Nevada, United States, North America</t>
  </si>
  <si>
    <t>cococoders.com</t>
  </si>
  <si>
    <t>cococoders</t>
  </si>
  <si>
    <t>https://pitchbook.com/profiles/company/571845-52</t>
  </si>
  <si>
    <t>https://twitter.com/cococoders</t>
  </si>
  <si>
    <t>hi@cococoders.com</t>
  </si>
  <si>
    <t>2026-05-28 07:38:54.868087+00</t>
  </si>
  <si>
    <t>banbu</t>
  </si>
  <si>
    <t>Banbu</t>
  </si>
  <si>
    <t>Banbu is a Cantabria-based natural and ecological cosmetics brand offering water-free, vegan formulas and biodegradable, compostable, or reusable packaging.</t>
  </si>
  <si>
    <t>Torrelavega, Cantabria, Spain, Europe</t>
  </si>
  <si>
    <t>banbu.es</t>
  </si>
  <si>
    <t>banbuzerowastebrand</t>
  </si>
  <si>
    <t>https://pitchbook.com/profiles/company/525704-14</t>
  </si>
  <si>
    <t>rodrigo@banbu.es</t>
  </si>
  <si>
    <t>+34 623411888</t>
  </si>
  <si>
    <t>2026-05-28 07:36:48.605543+00</t>
  </si>
  <si>
    <t>tianji-intelligence</t>
  </si>
  <si>
    <t>Tianji Intelligence</t>
  </si>
  <si>
    <t>Tianji Intelligence is an embodied intelligence infrastructure company that develops core sensors, integrated joints, controllers and robotic product platforms for force-control humanoid and dual-arm systems.</t>
  </si>
  <si>
    <t>gentorobotics.ai</t>
  </si>
  <si>
    <t>gentorobotics</t>
  </si>
  <si>
    <t>https://pitchbook.com/profiles/company/571924-09</t>
  </si>
  <si>
    <t>2026-05-28 07:30:14.605691+00</t>
  </si>
  <si>
    <t>Tel Aviv, Tel Aviv, Israel, Asia</t>
  </si>
  <si>
    <t>2026-05-14 15:00:52.196059+00</t>
  </si>
  <si>
    <t>2025-07-20 21:06:29.403938+00</t>
  </si>
  <si>
    <t>Haidian, Beijing, China, Asia</t>
  </si>
  <si>
    <t>2026-05-20 23:02:50.289599+00</t>
  </si>
  <si>
    <t>Z√ºrich, Zurich, Switzerland, Europe</t>
  </si>
  <si>
    <t>2026-05-20 12:00:37.814357+00</t>
  </si>
  <si>
    <t>2026-05-20 09:00:35.908333+00</t>
  </si>
  <si>
    <t>Redwood City, California, United States, North America</t>
  </si>
  <si>
    <t>2026-05-13 23:02:08.516039+00</t>
  </si>
  <si>
    <t>Gent, Oost-Vlaanderen, Belgium, Europe</t>
  </si>
  <si>
    <t>Dover, Delaware, United States, North America</t>
  </si>
  <si>
    <t>2026-04-29 12:00:43.031876+00</t>
  </si>
  <si>
    <t>M√ºnchen, Bayern, Germany, Europe</t>
  </si>
  <si>
    <t>2026-05-20 14:00:39.668067+00</t>
  </si>
  <si>
    <t>meta-fashion</t>
  </si>
  <si>
    <t>meta-fashion-global-private-limited</t>
  </si>
  <si>
    <t>Meta Fashion</t>
  </si>
  <si>
    <t>Meta Fashion is a digital fashion company that creates trend-led virtual clothing for platforms like Roblox, Fortnite, and ZEPETO and operates a phygital D2C line converting virtual bestsellers into real products.</t>
  </si>
  <si>
    <t>vader7@gmail.com</t>
  </si>
  <si>
    <t>2026-05-21 11:00:36.886726+00</t>
  </si>
  <si>
    <t>2026-05-28 00:09:13.976126+00</t>
  </si>
  <si>
    <t>lion-forge-entertainment</t>
  </si>
  <si>
    <t>Lion Forge Entertainment</t>
  </si>
  <si>
    <t>Lion Forge is a studio that develops and produces animated and live-action content for kids, YA, and adult audiences, managing IP expansion and franchise development via first-look, strategic partnerships.</t>
  </si>
  <si>
    <t>lionforgeentertainment.com</t>
  </si>
  <si>
    <t>lion-forge-ent</t>
  </si>
  <si>
    <t>https://pitchbook.com/profiles/company/113494-78</t>
  </si>
  <si>
    <t>2025-09-09 18:30:27.792589+00</t>
  </si>
  <si>
    <t>2026-05-28 00:09:13.973609+00</t>
  </si>
  <si>
    <t>mantle8</t>
  </si>
  <si>
    <t>Mantle8</t>
  </si>
  <si>
    <t>Mantle8 is a Grenoble-based startup that develops proprietary geological exploration technologies to identify and map subsurface natural hydrogen accumulations.</t>
  </si>
  <si>
    <t>Sassenage, Rhone-Alpes, France, Europe</t>
  </si>
  <si>
    <t>mantle8.com</t>
  </si>
  <si>
    <t>https://pitchbook.com/profiles/company/658612-90</t>
  </si>
  <si>
    <t>contact@mantle8.com</t>
  </si>
  <si>
    <t>+33 6 83 48 60 03</t>
  </si>
  <si>
    <t>2026-05-28 00:09:13.950209+00</t>
  </si>
  <si>
    <t>exponent-energy</t>
  </si>
  <si>
    <t>Exponent Energy</t>
  </si>
  <si>
    <t>Exponent Energy builds rapid-charging solutions for electric vehicles, enabling full charging in about 15 minutes and partnering with OEMs and logistics operators.</t>
  </si>
  <si>
    <t>exponent.energy</t>
  </si>
  <si>
    <t>https://pitchbook.com/profiles/company/482332-24</t>
  </si>
  <si>
    <t>https://x.com/exponentenergy</t>
  </si>
  <si>
    <t>hey@exponent.energy</t>
  </si>
  <si>
    <t>2026-05-28 00:09:13.922627+00</t>
  </si>
  <si>
    <t>harmoney-1</t>
  </si>
  <si>
    <t>harmoney-926f</t>
  </si>
  <si>
    <t>Harmoney</t>
  </si>
  <si>
    <t>Harmoney is a Ghent-based software company that provides a modular counterparty risk management platform for financial institutions and regulated enterprises.</t>
  </si>
  <si>
    <t>myharmoney.eu</t>
  </si>
  <si>
    <t>myharmoney</t>
  </si>
  <si>
    <t>https://x.com/my_harmoney</t>
  </si>
  <si>
    <t>connect@myharmoney.eu</t>
  </si>
  <si>
    <t>2026-05-28 00:09:13.900816+00</t>
  </si>
  <si>
    <t>zonova</t>
  </si>
  <si>
    <t>zonova-6a07</t>
  </si>
  <si>
    <t>Zonova</t>
  </si>
  <si>
    <t>Zonova develops Z-ROS¬Æ, an antimicrobial additive engineered into device polymers to create infection-resistant medical-device surfaces.</t>
  </si>
  <si>
    <t>zonovatech.com</t>
  </si>
  <si>
    <t>zonovatech</t>
  </si>
  <si>
    <t>https://pitchbook.com/profiles/company/607473-46</t>
  </si>
  <si>
    <t>info@zonovatech.com</t>
  </si>
  <si>
    <t>2026-05-28 00:09:13.897229+00</t>
  </si>
  <si>
    <t>v4c-ai</t>
  </si>
  <si>
    <t>v4c.ai</t>
  </si>
  <si>
    <t>v4c.ai is a data and AI services partner specializing in the Databricks ecosystem.</t>
  </si>
  <si>
    <t>info@v4c.ai</t>
  </si>
  <si>
    <t>+1 480 269 6479</t>
  </si>
  <si>
    <t>2026-05-28 00:09:13.869112+00</t>
  </si>
  <si>
    <t>bidso</t>
  </si>
  <si>
    <t>Bidso</t>
  </si>
  <si>
    <t>BIDSO is a design-led manufacturing platform focused on the global toys and consumer products ecosystem.</t>
  </si>
  <si>
    <t>bidso.com</t>
  </si>
  <si>
    <t>https://pitchbook.com/profiles/company/533160-28</t>
  </si>
  <si>
    <t>2026-05-28 00:09:13.866579+00</t>
  </si>
  <si>
    <t>primer-2</t>
  </si>
  <si>
    <t>primer-e1ea</t>
  </si>
  <si>
    <t>Primer</t>
  </si>
  <si>
    <t>Primer is the unified infrastructure for global payments that gives finance and payments teams a single platform to manage the payments lifecycle and capture complete contextual payment data.</t>
  </si>
  <si>
    <t>primer.io</t>
  </si>
  <si>
    <t>primerapi</t>
  </si>
  <si>
    <t>https://pitchbook.com/profiles/company/433186-57</t>
  </si>
  <si>
    <t>https://twitter.com/primer_io</t>
  </si>
  <si>
    <t>hello@primer.io</t>
  </si>
  <si>
    <t>2025-10-11 07:10:55.861348+00</t>
  </si>
  <si>
    <t>2026-05-28 00:09:13.851337+00</t>
  </si>
  <si>
    <t>revision-implant</t>
  </si>
  <si>
    <t>ReVision Implant</t>
  </si>
  <si>
    <t>ReVision Implant is a Belgian neurotech company developing Occular, a cortical visual prosthesis that bypasses the eye to stimulate the brain's visual cortex.</t>
  </si>
  <si>
    <t>Haasrode, Vlaams-Brabant, Belgium, Europe</t>
  </si>
  <si>
    <t>revision-implant.com</t>
  </si>
  <si>
    <t>revision-implant-nv</t>
  </si>
  <si>
    <t>https://pitchbook.com/profiles/company/622629-82</t>
  </si>
  <si>
    <t>info@revision-implant.com</t>
  </si>
  <si>
    <t>+32 494 465566</t>
  </si>
  <si>
    <t>2026-05-28 00:09:13.84172+00</t>
  </si>
  <si>
    <t>k-ren</t>
  </si>
  <si>
    <t>K-REN</t>
  </si>
  <si>
    <t>K Ren develops submerged textile covers that wrap boat hulls to limit biofouling by depriving light and reducing the need for biocidal antifouling coatings.</t>
  </si>
  <si>
    <t>k-ren.fr</t>
  </si>
  <si>
    <t>kren-bateau</t>
  </si>
  <si>
    <t>https://pitchbook.com/profiles/company/960811-84</t>
  </si>
  <si>
    <t>2025-08-29 22:30:27.733285+00</t>
  </si>
  <si>
    <t>2026-05-28 00:09:13.839589+00</t>
  </si>
  <si>
    <t>ineffable-intelligence-1</t>
  </si>
  <si>
    <t>Ineffable Intelligence</t>
  </si>
  <si>
    <t xml:space="preserve">Ineffable Intelligence is a London-based AI startup founded in late 2025 by former DeepMind reinforcement learning lead David Silver. </t>
  </si>
  <si>
    <t>ineffable.ai</t>
  </si>
  <si>
    <t>ineffable-intelligence</t>
  </si>
  <si>
    <t>https://pitchbook.com/profiles/company/1318660-03</t>
  </si>
  <si>
    <t>2026-04-27 23:02:20.26101+00</t>
  </si>
  <si>
    <t>2026-05-28 00:09:13.835457+00</t>
  </si>
  <si>
    <t>clouted</t>
  </si>
  <si>
    <t>Clouted</t>
  </si>
  <si>
    <t>Clouted is a startup that automates clipping and distribution of short-form video using a network of gig creators and AI-driven audience and channel optimization.</t>
  </si>
  <si>
    <t>clouted.com</t>
  </si>
  <si>
    <t>https://pitchbook.com/profiles/company/615375-37</t>
  </si>
  <si>
    <t>2026-05-20 21:00:41.795199+00</t>
  </si>
  <si>
    <t>2026-05-28 00:09:13.833909+00</t>
  </si>
  <si>
    <t>handle.com</t>
  </si>
  <si>
    <t>handle-com</t>
  </si>
  <si>
    <t>Handle</t>
  </si>
  <si>
    <t>Handle is a construction finance platform that helps suppliers and contractors manage lien rights, waivers, payments, invoices, and compliance workflows.</t>
  </si>
  <si>
    <t>handlecorporation</t>
  </si>
  <si>
    <t>https://pitchbook.com/profiles/company/59941-72</t>
  </si>
  <si>
    <t>https://twitter.com/HandleUS</t>
  </si>
  <si>
    <t>support@handle.com</t>
  </si>
  <si>
    <t>(800) 845-0625</t>
  </si>
  <si>
    <t>2026-05-28 00:09:13.086526+00</t>
  </si>
  <si>
    <t>trudoc</t>
  </si>
  <si>
    <t>trudoc-387a</t>
  </si>
  <si>
    <t>TruDoc</t>
  </si>
  <si>
    <t>TruDoc is a UAE-headquartered virtual-first, full-stack healthcare platform delivering continuous telemedicine and at-home critical care services across the GCC.</t>
  </si>
  <si>
    <t>Alexandria, Al Iskandariyah, Egypt, Africa</t>
  </si>
  <si>
    <t>trudochealth.com</t>
  </si>
  <si>
    <t>trudocgroup</t>
  </si>
  <si>
    <t>https://pitchbook.com/profiles/company/467586-55</t>
  </si>
  <si>
    <t>info@trudochealth.com</t>
  </si>
  <si>
    <t>2026-03-05 14:41:42.329061+00</t>
  </si>
  <si>
    <t>2026-05-28 00:09:13.046521+00</t>
  </si>
  <si>
    <t>dealinka</t>
  </si>
  <si>
    <t>Dealinka</t>
  </si>
  <si>
    <t>Dealinka is a startup that manages operational, logistical, and regulatory coordination to redirect unsold non-food goods to a network of partner associations.</t>
  </si>
  <si>
    <t>dealinka.com</t>
  </si>
  <si>
    <t>2026-05-28 00:09:13.031713+00</t>
  </si>
  <si>
    <t>arqitech</t>
  </si>
  <si>
    <t>Arqitech</t>
  </si>
  <si>
    <t>Arqitech provides a non-custodial infrastructure platform that links institutional finance with digital assets across multiple blockchains.</t>
  </si>
  <si>
    <t>Boca Raton, Florida, United States, North America</t>
  </si>
  <si>
    <t>arqitech.com</t>
  </si>
  <si>
    <t>arqitech-inc</t>
  </si>
  <si>
    <t>https://pitchbook.com/profiles/company/1308531-25</t>
  </si>
  <si>
    <t>contact@arqitech.com</t>
  </si>
  <si>
    <t>2026-02-20 00:02:36.140943+00</t>
  </si>
  <si>
    <t>2026-05-28 00:09:13.021018+00</t>
  </si>
  <si>
    <t>better-futures</t>
  </si>
  <si>
    <t>better-futures-e5e8</t>
  </si>
  <si>
    <t>Better Futures</t>
  </si>
  <si>
    <t>Better Futures is a Dublin-based AI startup that automates complex engineering documentation workflows for regulated industries.</t>
  </si>
  <si>
    <t>betterfutures.ai</t>
  </si>
  <si>
    <t>betterfutures</t>
  </si>
  <si>
    <t>https://pitchbook.com/profiles/company/607528-81</t>
  </si>
  <si>
    <t>2026-05-28 00:09:13.005745+00</t>
  </si>
  <si>
    <t>engine-room</t>
  </si>
  <si>
    <t>engine-room-6259</t>
  </si>
  <si>
    <t>Engine Room</t>
  </si>
  <si>
    <t>Engine Room is a finance and accounting partner that provides outsourced CFO-caliber services to venture-backed life science companies.</t>
  </si>
  <si>
    <t>Pleasanton, California, United States, North America</t>
  </si>
  <si>
    <t>engine-room.com</t>
  </si>
  <si>
    <t>https://pitchbook.com/profiles/advisor/290920-78</t>
  </si>
  <si>
    <t>cglass@engine-room.com</t>
  </si>
  <si>
    <t>2026-05-20 13:00:50.552175+00</t>
  </si>
  <si>
    <t>2026-05-27 15:16:49.019879+00</t>
  </si>
  <si>
    <t>agrosintex</t>
  </si>
  <si>
    <t>Agrosintex</t>
  </si>
  <si>
    <t>Agrosintex is an Agtech that develops an almost fully organic cattle feed additive designed to reduce methane emissions and improve animal digestive performance.</t>
  </si>
  <si>
    <t>agrosintex.com</t>
  </si>
  <si>
    <t>2026-05-01 23:02:36.798438+00</t>
  </si>
  <si>
    <t>2026-05-27 15:16:39.923219+00</t>
  </si>
  <si>
    <t>nanovita</t>
  </si>
  <si>
    <t>NanoVita</t>
  </si>
  <si>
    <t>NanoVita is a decentralized science protocol (DeSci) aiming to integrate nanotechnology, AI-driven biological intelligence and real-world health data into an open infrastructure.</t>
  </si>
  <si>
    <t>nanovitalab.com</t>
  </si>
  <si>
    <t>nanovita-labs</t>
  </si>
  <si>
    <t>https://pitchbook.com/profiles/company/1372787-92</t>
  </si>
  <si>
    <t>2026-03-31 23:02:49.965305+00</t>
  </si>
  <si>
    <t>2026-05-27 15:16:39.668302+00</t>
  </si>
  <si>
    <t>casa-2</t>
  </si>
  <si>
    <t>Casa</t>
  </si>
  <si>
    <t>Casa is a home-maintenance startup that uses lidar scanning and AI to create a detailed, actionable digital record of residential properties and manage upkeep.</t>
  </si>
  <si>
    <t>getcasa.com</t>
  </si>
  <si>
    <t>casatechnologiesinc</t>
  </si>
  <si>
    <t>https://pitchbook.com/profiles/company/608166-82</t>
  </si>
  <si>
    <t>https://x.com/getcasa</t>
  </si>
  <si>
    <t>2026-05-27 15:16:39.411352+00</t>
  </si>
  <si>
    <t>alp-bio</t>
  </si>
  <si>
    <t>ALP Bio</t>
  </si>
  <si>
    <t>ALP Bio is a Schlieren-based startup developing an immune organoid and generative AI platform to provide immunogenicity intelligence for biologics and antibody development.</t>
  </si>
  <si>
    <t>Schlieren, Zurich, Switzerland, Europe</t>
  </si>
  <si>
    <t>alp.bio</t>
  </si>
  <si>
    <t>alpbio</t>
  </si>
  <si>
    <t>info@alp.bio.</t>
  </si>
  <si>
    <t>2026-04-30 16:00:37.896619+00</t>
  </si>
  <si>
    <t>2026-05-27 15:16:39.340664+00</t>
  </si>
  <si>
    <t>zapdos-labs</t>
  </si>
  <si>
    <t>Zapdos Labs</t>
  </si>
  <si>
    <t>Zapdos Labs builds AI Video Agents that connect to existing factory CCTV to provide real-time safety monitoring and alerts for manufacturing environments.</t>
  </si>
  <si>
    <t>zapdoslabs.com</t>
  </si>
  <si>
    <t>zapdos</t>
  </si>
  <si>
    <t>https://pitchbook.com/profiles/company/1381372-75</t>
  </si>
  <si>
    <t>2026-05-27 15:16:39.085553+00</t>
  </si>
  <si>
    <t>progressive-molecules</t>
  </si>
  <si>
    <t>Progressive Molecules</t>
  </si>
  <si>
    <t>Progressive Molecules is a Northeast India pharmaceutical company focused on pharmaceutical distribution, life‚Äësciences products and supplements.</t>
  </si>
  <si>
    <t>progressivemolecules.in</t>
  </si>
  <si>
    <t>2026-05-27 15:16:39.01798+00</t>
  </si>
  <si>
    <t>congneva</t>
  </si>
  <si>
    <t>congneva-limited</t>
  </si>
  <si>
    <t>Congneva</t>
  </si>
  <si>
    <t>Congneva is a London-based startup building an intelligent behavioural-health ecosystem to help families and professionals support children with neurodivergent traits.</t>
  </si>
  <si>
    <t>congneva.com</t>
  </si>
  <si>
    <t>hello@congneva.com</t>
  </si>
  <si>
    <t>2026-05-27 15:16:38.94288+00</t>
  </si>
  <si>
    <t>novorbisitus</t>
  </si>
  <si>
    <t>NovorbisItus</t>
  </si>
  <si>
    <t>NovorbisItus is a Pune-based cleantech company that develops emission control and air purification systems, including retrofit solutions for diesel generator sets and crematoriums.</t>
  </si>
  <si>
    <t>novorbisitus.com</t>
  </si>
  <si>
    <t>novorbis-itus</t>
  </si>
  <si>
    <t>https://pitchbook.com/profiles/company/552737-53</t>
  </si>
  <si>
    <t>2026-05-27 15:16:38.87383+00</t>
  </si>
  <si>
    <t>Thea</t>
  </si>
  <si>
    <t>Thea is a clinically trained AI dermatologist that analyzes skin, lifestyle, and products to assist in diagnosis and recommend treatment protocols.</t>
  </si>
  <si>
    <t>hellothea.ai</t>
  </si>
  <si>
    <t>thea-technology-inc</t>
  </si>
  <si>
    <t>https://pitchbook.com/profiles/company/1156366-45</t>
  </si>
  <si>
    <t>2026-05-27 15:16:38.804601+00</t>
  </si>
  <si>
    <t>bookleverage</t>
  </si>
  <si>
    <t>Bookleverage</t>
  </si>
  <si>
    <t>Bookleverage is a book Q&amp;A platform powered by generative AI that answers natural-language questions using authorized book data.</t>
  </si>
  <si>
    <t>2026-05-27 15:16:38.664986+00</t>
  </si>
  <si>
    <t>tech-vegetas</t>
  </si>
  <si>
    <t>Tech Vegetas</t>
  </si>
  <si>
    <t>Tech Vegetas operates agrinex suite, a cloud-based agricultural distribution DX platform that visualizes farmers‚Äô production information and connects them directly with buyers.</t>
  </si>
  <si>
    <t>techvegetas.com</t>
  </si>
  <si>
    <t>https://pitchbook.com/profiles/company/1230640-30</t>
  </si>
  <si>
    <t>2026-05-27 15:16:38.597311+00</t>
  </si>
  <si>
    <t>k-zone</t>
  </si>
  <si>
    <t>K-Zone</t>
  </si>
  <si>
    <t>K-Zone is a startup operating a global reverse logistics platform that uses field data and AI via its REMEX platform to manage returns, overstocks and obsolete inventory.</t>
  </si>
  <si>
    <t>2026-05-27 15:16:38.529708+00</t>
  </si>
  <si>
    <t>ikado</t>
  </si>
  <si>
    <t>IKADO</t>
  </si>
  <si>
    <t>IKADO is a company integrating real-world assets (RWA) and NFTs by mapping collectible trading cards 1:1 to the blockchain to enable on-chain transactions and physical redemption.</t>
  </si>
  <si>
    <t>ikado.xyz</t>
  </si>
  <si>
    <t>2026-05-27 15:16:38.249695+00</t>
  </si>
  <si>
    <t>oric-sa</t>
  </si>
  <si>
    <t>ORIC-SA</t>
  </si>
  <si>
    <t>ORIC-SA is an integrated tire manufacturing company building a highly automated, Industry 4.0-enabled tire production hub in Saudi Arabia.</t>
  </si>
  <si>
    <t>2026-05-27 15:16:38.179212+00</t>
  </si>
  <si>
    <t>graphenory</t>
  </si>
  <si>
    <t>Graphenory</t>
  </si>
  <si>
    <t>Graphenory develops, manufactures, and sells optical devices that use graphene materials.</t>
  </si>
  <si>
    <t>graphenory.com</t>
  </si>
  <si>
    <t>https://pitchbook.com/profiles/company/1380820-15</t>
  </si>
  <si>
    <t>2026-05-27 15:16:38.103914+00</t>
  </si>
  <si>
    <t>vikra-ocean-tech</t>
  </si>
  <si>
    <t>vikra-ocean</t>
  </si>
  <si>
    <t>Vikra Ocean Tech</t>
  </si>
  <si>
    <t>Vikra Ocean Tech develops an indigenous, modular ocean robotics ecosystem including deep-water ROVs, autonomous surface vessels, amphibious crawling robots, and AI-enabled imaging and communication systems.</t>
  </si>
  <si>
    <t>vikraoceantech.com</t>
  </si>
  <si>
    <t>vikra-ocean-tech-pvt-ltd</t>
  </si>
  <si>
    <t>https://pitchbook.com/profiles/company/617816-35</t>
  </si>
  <si>
    <t>bda@vikraoceantech.com</t>
  </si>
  <si>
    <t>+91 9360471061</t>
  </si>
  <si>
    <t>2026-04-29 23:02:18.150945+00</t>
  </si>
  <si>
    <t>2026-05-27 15:16:37.956465+00</t>
  </si>
  <si>
    <t>the-deployment-company</t>
  </si>
  <si>
    <t>The Deployment Company</t>
  </si>
  <si>
    <t>The Deployment Company is an OpenAI-controlled joint venture formed with private equity and strategic investors to help companies adopt OpenAI‚Äôs AI software.</t>
  </si>
  <si>
    <t>2026-05-04 23:02:50.715048+00</t>
  </si>
  <si>
    <t>2026-05-27 14:53:42.039964+00</t>
  </si>
  <si>
    <t>openai</t>
  </si>
  <si>
    <t>OpenAI</t>
  </si>
  <si>
    <t>OpenAI is an artificial intelligence company known for products like ChatGPT and developer APIs.</t>
  </si>
  <si>
    <t>openai.com</t>
  </si>
  <si>
    <t>https://pitchbook.com/profiles/company/149504-14</t>
  </si>
  <si>
    <t>https://x.com/OpenAI</t>
  </si>
  <si>
    <t>support@openai.com</t>
  </si>
  <si>
    <t>+1 800-242-8478</t>
  </si>
  <si>
    <t>2026-05-27 14:50:11.949593+00</t>
  </si>
  <si>
    <t>tist-media</t>
  </si>
  <si>
    <t>TIST Media</t>
  </si>
  <si>
    <t>TIST Media is a creator economy platform that connects brands and creators through structured partnerships, payments, and campaign management tools.</t>
  </si>
  <si>
    <t>Bandra, Maharashtra, India, Asia</t>
  </si>
  <si>
    <t>tistmedia.in</t>
  </si>
  <si>
    <t>hello@tistmedia.in</t>
  </si>
  <si>
    <t>+91 88792 88069</t>
  </si>
  <si>
    <t>2026-05-27 14:23:02.209981+00</t>
  </si>
  <si>
    <t>uniphore</t>
  </si>
  <si>
    <t>Uniphore</t>
  </si>
  <si>
    <t>Uniphore provides a secure, composable Business AI Cloud that lets large enterprises build and deploy AI agents, models, and workflows at scale.</t>
  </si>
  <si>
    <t>uniphore.com</t>
  </si>
  <si>
    <t>https://pitchbook.com/profiles/company/61952-77</t>
  </si>
  <si>
    <t>http://twitter.com/uniphore</t>
  </si>
  <si>
    <t>support@uniphore.com</t>
  </si>
  <si>
    <t>+1 650 352 5500</t>
  </si>
  <si>
    <t>2026-05-27 14:23:02.199891+00</t>
  </si>
  <si>
    <t>backoffice</t>
  </si>
  <si>
    <t>backoffice-3c1b</t>
  </si>
  <si>
    <t>Backoffice</t>
  </si>
  <si>
    <t>Backoffice is a Vilnius-based startup building an operations management platform for restaurants, caf√©s, and hotels.</t>
  </si>
  <si>
    <t>backoffice.lt</t>
  </si>
  <si>
    <t>backoffice-lithuania</t>
  </si>
  <si>
    <t>info@backoffice.lt</t>
  </si>
  <si>
    <t>2026-05-27 13:18:22.009553+00</t>
  </si>
  <si>
    <t>spectronite</t>
  </si>
  <si>
    <t>Spectronite</t>
  </si>
  <si>
    <t>Spectronite is a deeptech telecoms company developing software-defined radio technology for wireless backhaul links used in 5G networks.</t>
  </si>
  <si>
    <t>Sophia Antipolis, Provence-Alpes-Cote d'Azur, France, Europe</t>
  </si>
  <si>
    <t>spectronite.com</t>
  </si>
  <si>
    <t>spectronite-communications</t>
  </si>
  <si>
    <t>https://pitchbook.com/profiles/company/460216-18</t>
  </si>
  <si>
    <t>+961 5 954 203</t>
  </si>
  <si>
    <t>2026-05-27 13:18:21.936326+00</t>
  </si>
  <si>
    <t>one100</t>
  </si>
  <si>
    <t>One100</t>
  </si>
  <si>
    <t>One100 is a Vienna-based healthtech startup that develops an AI telephone assistant for doctor practices and therapy centers in the DACH region.</t>
  </si>
  <si>
    <t>one100.ai</t>
  </si>
  <si>
    <t>one100ai</t>
  </si>
  <si>
    <t>2026-05-27 13:18:21.615123+00</t>
  </si>
  <si>
    <t>bucketlistt</t>
  </si>
  <si>
    <t>Bucketlistt</t>
  </si>
  <si>
    <t>Bucketlistt is a curated marketplace for verified travel and experience offerings and the operator of OkGhumo, an ERP/CRM platform for activity and experience operators.</t>
  </si>
  <si>
    <t>bucketlistt.com</t>
  </si>
  <si>
    <t>bucket-listt</t>
  </si>
  <si>
    <t>2026-05-27 13:18:21.54718+00</t>
  </si>
  <si>
    <t>tonada</t>
  </si>
  <si>
    <t>Tonada</t>
  </si>
  <si>
    <t>Tonada is a Swedish AI-generated music platform that produces proprietary, royalty-free background-music catalogs for retail, hospitality and physical spaces.</t>
  </si>
  <si>
    <t>tonada.com</t>
  </si>
  <si>
    <t>tonadaai</t>
  </si>
  <si>
    <t>2026-05-27 13:18:21.481361+00</t>
  </si>
  <si>
    <t>seukipeoraebseu</t>
  </si>
  <si>
    <t>skipper-labs</t>
  </si>
  <si>
    <t>Skipper Labs</t>
  </si>
  <si>
    <t>Ïä§ÌÇ§ÌçºÎû©Ïä§ is a startup that applies AI to financial decision-making.</t>
  </si>
  <si>
    <t>Washington, District of Columbia, United States, North America</t>
  </si>
  <si>
    <t>skipperlabs.ai</t>
  </si>
  <si>
    <t>https://pitchbook.com/profiles/company/969132-52</t>
  </si>
  <si>
    <t>2026-05-27 13:18:21.22158+00</t>
  </si>
  <si>
    <t>hiba300</t>
  </si>
  <si>
    <t>Hiba300</t>
  </si>
  <si>
    <t>Hiba300 (Hinoki-ha Sanbyaku) develops circular-economy lifestyle products using Aomori Hiba cypress and reclaimed wood materials.</t>
  </si>
  <si>
    <t>2026-05-27 13:18:20.891331+00</t>
  </si>
  <si>
    <t>unnamed-saas-projects</t>
  </si>
  <si>
    <t>Unnamed SaaS Projects</t>
  </si>
  <si>
    <t>Two UAE-based early-stage SaaS projects building scalable B2B software platforms with MVP/early traction, targeting GCC expansion and currently raising pre-seed funding from angels, VCs and strategic partners.</t>
  </si>
  <si>
    <t>2026-05-27 13:18:20.823728+00</t>
  </si>
  <si>
    <t>vendorside</t>
  </si>
  <si>
    <t>Vendorside</t>
  </si>
  <si>
    <t>Vendorside is a company that develops enterprise procurement and purchasing technologies and corporate AI solutions.</t>
  </si>
  <si>
    <t>Istanbul, Istanbul, Turkey, Europe</t>
  </si>
  <si>
    <t>vendorside.com</t>
  </si>
  <si>
    <t>2026-05-27 13:18:20.683102+00</t>
  </si>
  <si>
    <t>finspring-ai</t>
  </si>
  <si>
    <t>FinSpring.ai</t>
  </si>
  <si>
    <t>FinSpring.ai builds APIs and embedded infrastructure that enable fintechs and digital platforms to offer investment products like Fixed Deposits, Digital Gold, and Mutual Funds.</t>
  </si>
  <si>
    <t>finspring.ai</t>
  </si>
  <si>
    <t>finspring</t>
  </si>
  <si>
    <t>2026-05-16 11:00:41.235856+00</t>
  </si>
  <si>
    <t>2026-05-27 13:18:20.587067+00</t>
  </si>
  <si>
    <t>remotepass</t>
  </si>
  <si>
    <t>RemotePass</t>
  </si>
  <si>
    <t>RemotePass is a global employment, payroll, and spend platform that handles EOR, contractor management, payroll, compliance, and embedded fintech for distributed workforces.</t>
  </si>
  <si>
    <t>remotepass.com</t>
  </si>
  <si>
    <t>https://pitchbook.com/profiles/company/467949-70</t>
  </si>
  <si>
    <t>https://x.com/remotepasscom</t>
  </si>
  <si>
    <t>hello@remotepass.com</t>
  </si>
  <si>
    <t>2026-05-27 12:35:18.631438+00</t>
  </si>
  <si>
    <t>circuithub</t>
  </si>
  <si>
    <t>CircuitHub</t>
  </si>
  <si>
    <t>CircuitHub is a software-defined automated electronics manufacturer that turns design files into production-ready circuit boards in days.</t>
  </si>
  <si>
    <t>South Deerfield, Massachusetts, United States, North America</t>
  </si>
  <si>
    <t>circuithub.com</t>
  </si>
  <si>
    <t>https://pitchbook.com/profiles/company/56005-84</t>
  </si>
  <si>
    <t>https://x.com/CircuitHub</t>
  </si>
  <si>
    <t>support@circuithub.com</t>
  </si>
  <si>
    <t>(617) 401-0319</t>
  </si>
  <si>
    <t>2026-05-20 07:00:37.398582+00</t>
  </si>
  <si>
    <t>2026-05-27 12:35:13.59632+00</t>
  </si>
  <si>
    <t>sendcutsend</t>
  </si>
  <si>
    <t>sendcutsend-com</t>
  </si>
  <si>
    <t>SendCutSend</t>
  </si>
  <si>
    <t>SendCutSend is an on-demand custom sheet-metal and parts manufacturing company.</t>
  </si>
  <si>
    <t>Reno, Nevada, United States, North America</t>
  </si>
  <si>
    <t>sendcutsend.com</t>
  </si>
  <si>
    <t>https://pitchbook.com/profiles/company/462661-12</t>
  </si>
  <si>
    <t>https://x.com/sendcutsend</t>
  </si>
  <si>
    <t>Support@sendcutsend.com</t>
  </si>
  <si>
    <t>2026-05-27 12:35:12.772731+00</t>
  </si>
  <si>
    <t>weifan-intelligent</t>
  </si>
  <si>
    <t>Weifan Intelligent</t>
  </si>
  <si>
    <t>Weifan Intelligent is a Peking University‚Äëincubated startup developing integrated brain-inspired GPU chips for embodied intelligence and robotics.</t>
  </si>
  <si>
    <t>2026-05-23 11:00:32.860367+00</t>
  </si>
  <si>
    <t>2026-05-27 12:34:58.544261+00</t>
  </si>
  <si>
    <t>ikwileerlijkezuivel-nl</t>
  </si>
  <si>
    <t>Ikwileerlijkezuivel.nl</t>
  </si>
  <si>
    <t>Ikwileerlijkezuivel.nl is a Dutch dairy company that collects milk from independent farmers and produces butter and scoopable dairy products.</t>
  </si>
  <si>
    <t>ikwileerlijkezuivel.nl</t>
  </si>
  <si>
    <t>2026-05-27 12:34:58.472681+00</t>
  </si>
  <si>
    <t>k25-ai</t>
  </si>
  <si>
    <t>K25 AI</t>
  </si>
  <si>
    <t>K25 AI is a Singapore-based startup building AI systems to improve healthcare workflows, operational efficiency, and enterprise decision-making.</t>
  </si>
  <si>
    <t>k25.ai</t>
  </si>
  <si>
    <t>k25dotai</t>
  </si>
  <si>
    <t>2026-05-27 12:34:58.406799+00</t>
  </si>
  <si>
    <t>firewall-1</t>
  </si>
  <si>
    <t>Firewall</t>
  </si>
  <si>
    <t>Firewall is a journalist-led platform founded by Eric Smit that seeks to drive behavioral change at big tech companies.</t>
  </si>
  <si>
    <t>2026-05-27 12:34:58.0718+00</t>
  </si>
  <si>
    <t>trilliondefense</t>
  </si>
  <si>
    <t>TrillionDefense</t>
  </si>
  <si>
    <t>TrillionDefense is a defense-focused startup.</t>
  </si>
  <si>
    <t>trillion-defense</t>
  </si>
  <si>
    <t>2026-05-27 12:34:58.000393+00</t>
  </si>
  <si>
    <t>chargerly</t>
  </si>
  <si>
    <t>Chargerly</t>
  </si>
  <si>
    <t>Chargerly develops two-way charging solutions for professional electric vehicle fleets.</t>
  </si>
  <si>
    <t>chargerly.no</t>
  </si>
  <si>
    <t>chargerly-evchargers</t>
  </si>
  <si>
    <t>2026-05-27 12:34:57.928127+00</t>
  </si>
  <si>
    <t>zhong-ke-dun-xu</t>
  </si>
  <si>
    <t>‰∏≠ÁßëÊ≤åÂ∫è</t>
  </si>
  <si>
    <t>‰∏≠ÁßëÊ≤åÂ∫è is an AI company spun out of the Chinese Academy of Sciences Institute of Automation focused on Collective AGI and low-altitude safety AI products.</t>
  </si>
  <si>
    <t>2026-05-27 12:34:57.788861+00</t>
  </si>
  <si>
    <t>openheart</t>
  </si>
  <si>
    <t>openheart-ff3d</t>
  </si>
  <si>
    <t>OpenHeart</t>
  </si>
  <si>
    <t>OpenHeart is a Tokyo-based company that develops the 3D platform TAVIO and operates TAVIO STUDIO.</t>
  </si>
  <si>
    <t>tavio.ai</t>
  </si>
  <si>
    <t>openheart-inc</t>
  </si>
  <si>
    <t>https://pitchbook.com/profiles/company/707558-50</t>
  </si>
  <si>
    <t>contact@openheart.co.jp</t>
  </si>
  <si>
    <t>2025-09-19 22:30:24.871548+00</t>
  </si>
  <si>
    <t>2026-05-27 12:34:57.521577+00</t>
  </si>
  <si>
    <t>nuvve-japan</t>
  </si>
  <si>
    <t>NUVVE JAPAN</t>
  </si>
  <si>
    <t>NUVVE JAPAN is a company that develops and deploys V2G (vehicle-to-grid) energy solutions in Japan.</t>
  </si>
  <si>
    <t>nuvve.co.jp</t>
  </si>
  <si>
    <t>03-5532-5610</t>
  </si>
  <si>
    <t>2026-05-15 23:02:25.799539+00</t>
  </si>
  <si>
    <t>2026-05-27 12:34:57.271445+00</t>
  </si>
  <si>
    <t>savearth</t>
  </si>
  <si>
    <t>Savearth</t>
  </si>
  <si>
    <t>Savearth is a startup that uses intelligent sound analysis to measure shower water consumption in real time to reduce water waste in hotels.</t>
  </si>
  <si>
    <t>savearth.io</t>
  </si>
  <si>
    <t>savearth-world</t>
  </si>
  <si>
    <t>https://pitchbook.com/profiles/company/718651-45</t>
  </si>
  <si>
    <t>2026-05-27 12:34:56.80231+00</t>
  </si>
  <si>
    <t>wisediag</t>
  </si>
  <si>
    <t>WiseDiag</t>
  </si>
  <si>
    <t>WiseDiag is a medical AI company developing a medical multimodal large model (WiseDiag), a medical Agent OS (WiseClaw), and the Haoban AI health service platform.</t>
  </si>
  <si>
    <t>wisediag.com</t>
  </si>
  <si>
    <t>https://pitchbook.com/profiles/company/1389804-40</t>
  </si>
  <si>
    <t>2026-05-27 12:34:56.732815+00</t>
  </si>
  <si>
    <t>wu-xian-gong-fang-ji-qi-ren</t>
  </si>
  <si>
    <t>Êó†ÈôêÂ∑•ÂùäÊú∫Âô®‰∫∫</t>
  </si>
  <si>
    <t>Êó†ÈôêÂ∑•ÂùäÊú∫Âô®‰∫∫ is a company that originally made detailed 1:50-scale heavy machinery models and has transitioned to developing desktop high-precision CNC machines.</t>
  </si>
  <si>
    <t>infimaker.com</t>
  </si>
  <si>
    <t>2026-05-27 12:34:56.664248+00</t>
  </si>
  <si>
    <t>cothon</t>
  </si>
  <si>
    <t>Cothon</t>
  </si>
  <si>
    <t>Cothon is a web app and browser extension that helps users check and verify AI-generated text.</t>
  </si>
  <si>
    <t>cothon.ai</t>
  </si>
  <si>
    <t>cothon-ai</t>
  </si>
  <si>
    <t>2026-05-27 12:34:56.595905+00</t>
  </si>
  <si>
    <t>moi-soi</t>
  </si>
  <si>
    <t>Moi Soi</t>
  </si>
  <si>
    <t>Moi Soi is a pan-Asian direct-to-consumer food and beverage brand selling sauces, chilli oils, noodles, ready-to-eat curries, and Asian beverages.</t>
  </si>
  <si>
    <t>moisoi.in</t>
  </si>
  <si>
    <t>moisoi</t>
  </si>
  <si>
    <t>https://pitchbook.com/profiles/company/496669-78</t>
  </si>
  <si>
    <t>2026-05-27 12:34:56.526655+00</t>
  </si>
  <si>
    <t>eleutheria</t>
  </si>
  <si>
    <t>Eleutheria</t>
  </si>
  <si>
    <t>Eleutheria is a BNB ecosystem decentralized finance (DeFi) platform building on-chain financial services using trustless, code-driven DeFi and tamper-proof smart contracts.</t>
  </si>
  <si>
    <t>2026-05-27 12:34:56.269648+00</t>
  </si>
  <si>
    <t>crowpire</t>
  </si>
  <si>
    <t>Crowpire</t>
  </si>
  <si>
    <t>Crowpire is a real estate crowdfunding and crowdlending platform that connects investors with residential property development loans and projects.</t>
  </si>
  <si>
    <t>crowpire.es</t>
  </si>
  <si>
    <t>2026-05-27 12:34:56.200296+00</t>
  </si>
  <si>
    <t>zensi</t>
  </si>
  <si>
    <t>Zensi</t>
  </si>
  <si>
    <t>Zensi is a Chilean startup that builds a B2B platform to monitor and optimize water, gas, and electricity consumption.</t>
  </si>
  <si>
    <t>zensi-smart-metering</t>
  </si>
  <si>
    <t>https://pitchbook.com/profiles/company/638188-03</t>
  </si>
  <si>
    <t>2026-05-27 12:34:56.130259+00</t>
  </si>
  <si>
    <t>quarrylabs</t>
  </si>
  <si>
    <t>QuarryLabs</t>
  </si>
  <si>
    <t>Builds a next-generation Delegated Proof-of-Stake (DPoS) Layer-1 blockchain and developer tools‚Äîincluding a no-code API for token launches and swaps‚Äîwhile recruiting founding validators through a Genesis Miner program ahead of a $5M seed close.</t>
  </si>
  <si>
    <t>quarrychain.network</t>
  </si>
  <si>
    <t>quarrychain</t>
  </si>
  <si>
    <t>2026-05-27 12:34:55.980332+00</t>
  </si>
  <si>
    <t>femmebiome</t>
  </si>
  <si>
    <t>FemmeBiome</t>
  </si>
  <si>
    <t>FemmeBiome develops sex-specific oral microbiome supplements to support women's gut health, initially targeting perimenopause and menopause.</t>
  </si>
  <si>
    <t>femmebiome.com</t>
  </si>
  <si>
    <t>https://pitchbook.com/profiles/company/1161796-15</t>
  </si>
  <si>
    <t>2026-05-27 12:34:55.906936+00</t>
  </si>
  <si>
    <t>liberai</t>
  </si>
  <si>
    <t>LiberAI</t>
  </si>
  <si>
    <t>LiberAI is a Tsinghua-affiliated startup developing physical/world models and embodied foundation models for high-degree dexterous robotic manipulation.</t>
  </si>
  <si>
    <t>liberai.com</t>
  </si>
  <si>
    <t>https://x.com/liberai_robot</t>
  </si>
  <si>
    <t>2026-05-27 12:34:55.768794+00</t>
  </si>
  <si>
    <t>zhiyu-aerospace</t>
  </si>
  <si>
    <t>Zhiyu Aerospace</t>
  </si>
  <si>
    <t>Zhiyu Aerospace is a developer of small- and medium-sized liquid oxygen‚Äìmethane launch vehicles using electric pump cycle engines and aiming for reusable first stages.</t>
  </si>
  <si>
    <t>2026-05-27 12:34:55.691535+00</t>
  </si>
  <si>
    <t>star-catcher-industries</t>
  </si>
  <si>
    <t>star-catcher</t>
  </si>
  <si>
    <t>Star Catcher</t>
  </si>
  <si>
    <t>Star Catcher is building the first power grid in space that beams concentrated solar energy on demand to satellites with no retrofit required.</t>
  </si>
  <si>
    <t>Jacksonville, Florida, United States, North America</t>
  </si>
  <si>
    <t>star-catcher.com</t>
  </si>
  <si>
    <t>starcatcherind</t>
  </si>
  <si>
    <t>https://pitchbook.com/profiles/company/615699-55</t>
  </si>
  <si>
    <t>info@star-catcher.com</t>
  </si>
  <si>
    <t>2026-05-27 12:09:33.144065+00</t>
  </si>
  <si>
    <t>aryze</t>
  </si>
  <si>
    <t>ARYZE</t>
  </si>
  <si>
    <t>ARYZE is a fintech company that provides stablecoin technology infrastructure as a managed service.</t>
  </si>
  <si>
    <t>Copenhagen, Hovedstaden, Denmark, Europe</t>
  </si>
  <si>
    <t>aryze.io</t>
  </si>
  <si>
    <t>aryzeofficial</t>
  </si>
  <si>
    <t>https://pitchbook.com/profiles/company/277618-51</t>
  </si>
  <si>
    <t>https://twitter.com/aryzeofficial</t>
  </si>
  <si>
    <t>info@aryze.io</t>
  </si>
  <si>
    <t>2026-05-27 11:19:19.597385+00</t>
  </si>
  <si>
    <t>yu-shi-kong-jian</t>
  </si>
  <si>
    <t>yushi-space</t>
  </si>
  <si>
    <t>ÂÆáÁü≥Á©∫Èó¥ - Yushi Space</t>
  </si>
  <si>
    <t>Yushi Space develops large-capacity, low-cost, rapidly reusable stainless-steel liquid oxygen‚Äìmethane rockets.</t>
  </si>
  <si>
    <t>https://pitchbook.com/profiles/company/756151-30</t>
  </si>
  <si>
    <t>2025-12-13 00:30:26.605763+00</t>
  </si>
  <si>
    <t>2026-05-27 11:19:19.595245+00</t>
  </si>
  <si>
    <t>bioorbit</t>
  </si>
  <si>
    <t>BioOrbit</t>
  </si>
  <si>
    <t>BioOrbit is a London-based company developing in-space drug manufacturing capabilities that use microgravity to produce biologic drug crystals at scale.</t>
  </si>
  <si>
    <t>bioorbit.space</t>
  </si>
  <si>
    <t>https://pitchbook.com/profiles/company/588877-03</t>
  </si>
  <si>
    <t>2026-04-30 15:00:35.288372+00</t>
  </si>
  <si>
    <t>2026-05-27 11:18:06.374512+00</t>
  </si>
  <si>
    <t>wispr</t>
  </si>
  <si>
    <t>wispr-ai</t>
  </si>
  <si>
    <t>Wispr AI</t>
  </si>
  <si>
    <t>Wispr AI develops Flow, a voice-to-text AI platform that turns speech into polished writing across any application, aiming to make speech the primary human-computer interface.</t>
  </si>
  <si>
    <t>wisprflow.ai</t>
  </si>
  <si>
    <t>https://pitchbook.com/profiles/company/482540-68</t>
  </si>
  <si>
    <t>https://x.com/wisprflow</t>
  </si>
  <si>
    <t>hello@wispr.ai</t>
  </si>
  <si>
    <t>2026-05-27 11:18:06.367974+00</t>
  </si>
  <si>
    <t>koolboks</t>
  </si>
  <si>
    <t>Koolboks</t>
  </si>
  <si>
    <t>Koolboks manufactures off-grid solar refrigeration units (110‚Äì1,000L) with internal batteries, thermal storage, IoT, LED lighting and USB ports, deployed via pay-as-you-go token payments to businesses in emerging markets.</t>
  </si>
  <si>
    <t>Rosny-sous-bois, Ile-de-France, France, Europe</t>
  </si>
  <si>
    <t>koolboks.com</t>
  </si>
  <si>
    <t>https://pitchbook.com/profiles/company/492700-87</t>
  </si>
  <si>
    <t>2026-05-27 11:18:06.364777+00</t>
  </si>
  <si>
    <t>branchlab</t>
  </si>
  <si>
    <t>BranchLab</t>
  </si>
  <si>
    <t>BranchLab is an AI platform that unifies audience identification, activation, and optimization for pharmaceutical commercialization.</t>
  </si>
  <si>
    <t>branchlab.com</t>
  </si>
  <si>
    <t>branch-lab</t>
  </si>
  <si>
    <t>https://pitchbook.com/profiles/company/593890-93</t>
  </si>
  <si>
    <t>hello@branchlab.com</t>
  </si>
  <si>
    <t>2026-05-27 11:18:06.36424+00</t>
  </si>
  <si>
    <t>sportvot</t>
  </si>
  <si>
    <t>SportVot</t>
  </si>
  <si>
    <t>SportVot is a full-stack digital platform that provides sports streaming and talent discovery services.</t>
  </si>
  <si>
    <t>sportvot.com</t>
  </si>
  <si>
    <t>https://pitchbook.com/profiles/company/502806-88</t>
  </si>
  <si>
    <t>https://mobile.twitter.com/sportvot</t>
  </si>
  <si>
    <t>contact@sportvot.com</t>
  </si>
  <si>
    <t>2026-05-27 11:18:06.361807+00</t>
  </si>
  <si>
    <t>originflow</t>
  </si>
  <si>
    <t>OriginFlow</t>
  </si>
  <si>
    <t>OriginFlow is an embodied AI data-infrastructure startup that captures human muscle electrical signals (sEMG) and encodes them with its PULSE foundation model to reconstruct hand posture, force, and multimodal continuous interaction data.</t>
  </si>
  <si>
    <t>originflow.ai</t>
  </si>
  <si>
    <t>2026-05-27 09:52:27.28448+00</t>
  </si>
  <si>
    <t>retro-biosciences</t>
  </si>
  <si>
    <t>Retro Biosciences</t>
  </si>
  <si>
    <t>Retro Biosciences is a San Francisco-based biotech company developing therapies and cell-reprogramming approaches to extend human healthspan.</t>
  </si>
  <si>
    <t>retro.bio</t>
  </si>
  <si>
    <t>https://pitchbook.com/profiles/company/481711-96</t>
  </si>
  <si>
    <t>https://x.com/retrobio_</t>
  </si>
  <si>
    <t>hi@retro.bio</t>
  </si>
  <si>
    <t>2026-05-27 09:24:08.971684+00</t>
  </si>
  <si>
    <t>moment-2</t>
  </si>
  <si>
    <t>moment-fa42</t>
  </si>
  <si>
    <t>Moment</t>
  </si>
  <si>
    <t>Moment is a platform that combines trading, portfolio management and compliance and uses AI agents to automate investment-management workflows.</t>
  </si>
  <si>
    <t>withmoment.com</t>
  </si>
  <si>
    <t>moment-markets</t>
  </si>
  <si>
    <t>https://pitchbook.com/profiles/company/521195-86</t>
  </si>
  <si>
    <t>2026-05-27 08:58:39.395849+00</t>
  </si>
  <si>
    <t>mia-healthcare-technologies</t>
  </si>
  <si>
    <t>mia-healthcare</t>
  </si>
  <si>
    <t>Mia Healthcare Technologies</t>
  </si>
  <si>
    <t>Mia Healthcare Technologies is a Cape Town-based healthtech that operates mobile and fixed dental clinics and manufactures locally produced clear aligners to provide lower-cost orthodontic care.</t>
  </si>
  <si>
    <t>Cape Town, NA - South Africa, South Africa, Africa</t>
  </si>
  <si>
    <t>miahealthcare.co.za</t>
  </si>
  <si>
    <t>mia-health-technologies</t>
  </si>
  <si>
    <t>https://pitchbook.com/profiles/company/591288-04</t>
  </si>
  <si>
    <t>info@miahealthcare.co.za</t>
  </si>
  <si>
    <t>+27 83 700 0305</t>
  </si>
  <si>
    <t>2026-05-27 08:47:34.754203+00</t>
  </si>
  <si>
    <t>cedar-1</t>
  </si>
  <si>
    <t>cedar-42fe</t>
  </si>
  <si>
    <t>Cedar</t>
  </si>
  <si>
    <t>Cedar Build is a construction-technology company.</t>
  </si>
  <si>
    <t>cedar.build</t>
  </si>
  <si>
    <t>cedarbuild</t>
  </si>
  <si>
    <t>https://pitchbook.com/profiles/company/516080-35</t>
  </si>
  <si>
    <t>info@cedar.build</t>
  </si>
  <si>
    <t>2026-05-27 08:33:48.827282+00</t>
  </si>
  <si>
    <t>voker</t>
  </si>
  <si>
    <t>voker-60d8</t>
  </si>
  <si>
    <t>Voker</t>
  </si>
  <si>
    <t>Voker is an agent analytics platform that helps AI product teams measure, monitor, and improve the performance of AI agents and LLM-powered applications.</t>
  </si>
  <si>
    <t>voker.ai</t>
  </si>
  <si>
    <t>voker-ai</t>
  </si>
  <si>
    <t>https://pitchbook.com/profiles/company/639947-44</t>
  </si>
  <si>
    <t>https://x.com/Voker_ai</t>
  </si>
  <si>
    <t>admin@voker.ai</t>
  </si>
  <si>
    <t>2026-05-27 08:10:24.178689+00</t>
  </si>
  <si>
    <t>estelec</t>
  </si>
  <si>
    <t>estelec-industrie</t>
  </si>
  <si>
    <t>Estelec</t>
  </si>
  <si>
    <t>Estelec is an Alsatian electronic subcontractor providing electronics design and manufacturing services for industrial, medical, rail, and IoT customers.</t>
  </si>
  <si>
    <t>Scherwiller, Alsace, France, Europe</t>
  </si>
  <si>
    <t>estelec-industrie.com</t>
  </si>
  <si>
    <t>https://pitchbook.com/profiles/company/208792-45</t>
  </si>
  <si>
    <t>info@estelec-industrie.com</t>
  </si>
  <si>
    <t>+33 0 3 88 82 61 00</t>
  </si>
  <si>
    <t>2026-05-27 08:08:27.145968+00</t>
  </si>
  <si>
    <t>lspedia</t>
  </si>
  <si>
    <t>LSPedia</t>
  </si>
  <si>
    <t>LSPedia is a provider of cloud-based compliance, traceability, and supply chain software for the pharmaceutical industry.</t>
  </si>
  <si>
    <t>Farmington Hills, Michigan, United States, North America</t>
  </si>
  <si>
    <t>lspedia.com</t>
  </si>
  <si>
    <t>https://pitchbook.com/profiles/company/299310-58</t>
  </si>
  <si>
    <t>https://x.com/LSPediA</t>
  </si>
  <si>
    <t>trace@lspedia.com</t>
  </si>
  <si>
    <t>+1 855-663-7226</t>
  </si>
  <si>
    <t>2026-05-27 08:00:58.885121+00</t>
  </si>
  <si>
    <t>eisen</t>
  </si>
  <si>
    <t>Eisen</t>
  </si>
  <si>
    <t>Eisen is an AI-enabled compliance operations infrastructure company that automates escheatment, tax reporting, and disbursement for fintechs and financial institutions.</t>
  </si>
  <si>
    <t>witheisen.com</t>
  </si>
  <si>
    <t>https://pitchbook.com/profiles/company/506939-50</t>
  </si>
  <si>
    <t>contact@witheisen.com</t>
  </si>
  <si>
    <t>2026-05-27 07:56:13.753853+00</t>
  </si>
  <si>
    <t>yoho-footwear</t>
  </si>
  <si>
    <t>yoho-d587</t>
  </si>
  <si>
    <t>Yoho</t>
  </si>
  <si>
    <t>Yoho is a direct-to-consumer footwear brand that sells sneakers and other footwear across its website, major e-commerce marketplaces, and quick-commerce platforms.</t>
  </si>
  <si>
    <t>yoholife.in</t>
  </si>
  <si>
    <t>yoholifestyle</t>
  </si>
  <si>
    <t>https://pitchbook.com/profiles/company/510406-84</t>
  </si>
  <si>
    <t>https://twitter.com/yoholifestyle</t>
  </si>
  <si>
    <t>2026-05-27 07:37:18.94157+00</t>
  </si>
  <si>
    <t>kuru-footwear</t>
  </si>
  <si>
    <t>KURU Footwear</t>
  </si>
  <si>
    <t>KURU Footwear is a footwear brand that designs heel-first shoes built around its patented KURUSOLE heel-cupping technology.</t>
  </si>
  <si>
    <t>Salt Lake City, Utah, United States, North America</t>
  </si>
  <si>
    <t>kurufootwear.com</t>
  </si>
  <si>
    <t>https://pitchbook.com/profiles/company/393793-21</t>
  </si>
  <si>
    <t>https://x.com/kurufootwear</t>
  </si>
  <si>
    <t>gurus@kurufootwear.com</t>
  </si>
  <si>
    <t>2026-05-27 07:30:11.881401+00</t>
  </si>
  <si>
    <t>endureair-systems</t>
  </si>
  <si>
    <t>endureair</t>
  </si>
  <si>
    <t>EndureAir Systems</t>
  </si>
  <si>
    <t>EndureAir Systems is a Noida-based aerospace startup that designs and manufactures heavy-lift VTOL unmanned aerial systems such as the SABAL-200.</t>
  </si>
  <si>
    <t>endureair.com</t>
  </si>
  <si>
    <t>https://pitchbook.com/profiles/company/501767-92</t>
  </si>
  <si>
    <t>https://x.com/endureair</t>
  </si>
  <si>
    <t>2025-10-23 02:05:31.833497+00</t>
  </si>
  <si>
    <t>2026-05-27 07:25:34.785261+00</t>
  </si>
  <si>
    <t>agrisound</t>
  </si>
  <si>
    <t>AgriSound</t>
  </si>
  <si>
    <t>AgriSound is a bioacoustic crop monitoring company that tracks pollinator (bee) activity in real time using advanced algorithms.</t>
  </si>
  <si>
    <t>York, York, United Kingdom, Europe</t>
  </si>
  <si>
    <t>agrisound.io</t>
  </si>
  <si>
    <t>https://pitchbook.com/profiles/company/466177-60</t>
  </si>
  <si>
    <t>https://x.com/AgriSoundTech</t>
  </si>
  <si>
    <t>hello@agrisound.io</t>
  </si>
  <si>
    <t>2026-05-27 07:22:44.174804+00</t>
  </si>
  <si>
    <t>farwind-energy</t>
  </si>
  <si>
    <t>Farwind Energy</t>
  </si>
  <si>
    <t>Farwind Energy is a Nantes-based renewable-energy company developing and commercializing Flettner rotor wind-assist propulsion systems.</t>
  </si>
  <si>
    <t>Nantes, Pays de la Loire, France, Europe</t>
  </si>
  <si>
    <t>farwind-energy.com</t>
  </si>
  <si>
    <t>https://pitchbook.com/profiles/company/483790-15</t>
  </si>
  <si>
    <t>contact@farwind-energy.com</t>
  </si>
  <si>
    <t>2026-05-27 07:15:34.028088+00</t>
  </si>
  <si>
    <t>respan</t>
  </si>
  <si>
    <t>keywords-ai</t>
  </si>
  <si>
    <t>Respan</t>
  </si>
  <si>
    <t>Respan is a proactive, full-stack AI engineering platform that provides a unified control plane for tracing, evaluating, and monitoring AI agent behavior and an AI gateway for production routing.</t>
  </si>
  <si>
    <t>respan.ai</t>
  </si>
  <si>
    <t>respan-ai</t>
  </si>
  <si>
    <t>https://pitchbook.com/profiles/company/550450-27</t>
  </si>
  <si>
    <t>https://x.com/RespanAI</t>
  </si>
  <si>
    <t>hello@respan.ai</t>
  </si>
  <si>
    <t>2026-03-18 16:00:39.369735+00</t>
  </si>
  <si>
    <t>2026-05-27 07:09:13.355805+00</t>
  </si>
  <si>
    <t>ivorian-biocosmetics-firm</t>
  </si>
  <si>
    <t>laboratoires-adeba</t>
  </si>
  <si>
    <t>Ivorian Biocosmetics Firm</t>
  </si>
  <si>
    <t>Laboratoires Adeba is an Abidjan-based organic skin and haircare company that sources ingredients from a network of female farmers.</t>
  </si>
  <si>
    <t>Abidjan, Lagunes, C√¥te d'Ivoire, Africa</t>
  </si>
  <si>
    <t>adebanature.com</t>
  </si>
  <si>
    <t>laboratoiresadeba</t>
  </si>
  <si>
    <t>info@adebanature.com</t>
  </si>
  <si>
    <t>+225 07 87 18 39 56</t>
  </si>
  <si>
    <t>2026-05-27 06:54:18.693656+00</t>
  </si>
  <si>
    <t>motery</t>
  </si>
  <si>
    <t>Motery</t>
  </si>
  <si>
    <t>Motery is a Kuwait-based fintech application that enables customers to buy cars online and access customizable financing options.</t>
  </si>
  <si>
    <t>Kuwait, Al Kuwayt, Kuwait, Asia</t>
  </si>
  <si>
    <t>motery.app</t>
  </si>
  <si>
    <t>https://pitchbook.com/profiles/company/594441-55</t>
  </si>
  <si>
    <t>2026-05-14 23:03:27.277588+00</t>
  </si>
  <si>
    <t>2026-05-27 05:22:33.316406+00</t>
  </si>
  <si>
    <t>digital-edge</t>
  </si>
  <si>
    <t>digital-edge-dc</t>
  </si>
  <si>
    <t>Digital Edge</t>
  </si>
  <si>
    <t>Digital Edge is an APAC data center firm that develops and operates campus-scale data center facilities across Asia‚ÄëPacific.</t>
  </si>
  <si>
    <t>digitaledgedc.com</t>
  </si>
  <si>
    <t>digitaledgedc</t>
  </si>
  <si>
    <t>https://pitchbook.com/profiles/company/438405-13</t>
  </si>
  <si>
    <t>2026-05-27 00:01:07.980059+00</t>
  </si>
  <si>
    <t>fundcanna</t>
  </si>
  <si>
    <t>FundCanna</t>
  </si>
  <si>
    <t>FundCanna is a San Diego-based fintech and specialized direct lender serving the legal cannabis, hemp, and CBD industries.</t>
  </si>
  <si>
    <t>Solana Beach, California, United States, North America</t>
  </si>
  <si>
    <t>fundcanna.com</t>
  </si>
  <si>
    <t>https://pitchbook.com/profiles/company/484848-46</t>
  </si>
  <si>
    <t>jplagos@fundcanna.com</t>
  </si>
  <si>
    <t>2026-05-26 23:32:30.820366+00</t>
  </si>
  <si>
    <t>ddd-invoices</t>
  </si>
  <si>
    <t>DDD Invoices</t>
  </si>
  <si>
    <t>DDD Invoices is a Ljubljana-based company providing a unified API that connects business and financial SaaS platforms to tax portals worldwide for e-invoicing compliance.</t>
  </si>
  <si>
    <t>Ljubljana, Ljubljana Urban Commune, Slovenia, Europe</t>
  </si>
  <si>
    <t>dddinvoices.com</t>
  </si>
  <si>
    <t>dddinvoices</t>
  </si>
  <si>
    <t>https://pitchbook.com/profiles/company/530892-55</t>
  </si>
  <si>
    <t>info@dddinvoices.com</t>
  </si>
  <si>
    <t>2026-05-14 07:00:33.304186+00</t>
  </si>
  <si>
    <t>2026-05-26 23:32:30.817407+00</t>
  </si>
  <si>
    <t>muybridge</t>
  </si>
  <si>
    <t>Muybridge</t>
  </si>
  <si>
    <t>Muybridge is a Norwegian imaging technology company building a software-defined imaging platform that generates virtual, real-time camera perspectives from compact arrays of sensors and GPU systems.</t>
  </si>
  <si>
    <t>Fornebu, Akershus, Norway, Europe</t>
  </si>
  <si>
    <t>muybridge.com</t>
  </si>
  <si>
    <t>muybridgexyz</t>
  </si>
  <si>
    <t>https://pitchbook.com/profiles/company/467882-02</t>
  </si>
  <si>
    <t>contact@muybridge.com</t>
  </si>
  <si>
    <t>2026-05-26 23:32:30.813447+00</t>
  </si>
  <si>
    <t>monil</t>
  </si>
  <si>
    <t>Monil</t>
  </si>
  <si>
    <t>Monil develops GPS-enabled collar technology that creates virtual fences to manage grazing livestock.</t>
  </si>
  <si>
    <t>monil.com</t>
  </si>
  <si>
    <t>monil-virtual-fences</t>
  </si>
  <si>
    <t>https://pitchbook.com/profiles/company/507053-80</t>
  </si>
  <si>
    <t>2026-03-04 00:02:01.30235+00</t>
  </si>
  <si>
    <t>2026-05-26 23:32:30.811721+00</t>
  </si>
  <si>
    <t>nenna-ai</t>
  </si>
  <si>
    <t>NENNA.AI</t>
  </si>
  <si>
    <t>NENNA.AI is an AI privacy platform that enables European enterprises to use leading AI models while keeping sensitive data protected.</t>
  </si>
  <si>
    <t>nenna.ai</t>
  </si>
  <si>
    <t>hello@nenna.io</t>
  </si>
  <si>
    <t>+49 (0) 1579-2372018</t>
  </si>
  <si>
    <t>2026-05-26 23:32:30.781512+00</t>
  </si>
  <si>
    <t>otrera</t>
  </si>
  <si>
    <t>Otrera</t>
  </si>
  <si>
    <t>Otrera New Energy develops sodium-cooled fast-neutron small modular reactors (RNR-Na) aimed at enabling a closed nuclear fuel cycle.</t>
  </si>
  <si>
    <t>Aix-en-provence, Provence-Alpes-Cote d'Azur, France, Europe</t>
  </si>
  <si>
    <t>otrera.fr</t>
  </si>
  <si>
    <t>otrera-energy</t>
  </si>
  <si>
    <t>https://pitchbook.com/profiles/company/632438-74</t>
  </si>
  <si>
    <t>https://x.com/otreraenergy</t>
  </si>
  <si>
    <t>2025-07-20 09:22:04.72001+00</t>
  </si>
  <si>
    <t>2026-05-26 23:32:30.770739+00</t>
  </si>
  <si>
    <t>commure</t>
  </si>
  <si>
    <t>Commure</t>
  </si>
  <si>
    <t>Commure is a healthcare AI platform that serves healthcare organizations and automates revenue cycle work.</t>
  </si>
  <si>
    <t>commure.com</t>
  </si>
  <si>
    <t>https://pitchbook.com/profiles/company/187710-13</t>
  </si>
  <si>
    <t>https://twitter.com/commurehealth</t>
  </si>
  <si>
    <t>solutions@commure.com</t>
  </si>
  <si>
    <t>(833) 524-1318</t>
  </si>
  <si>
    <t>2026-05-26 23:32:30.755733+00</t>
  </si>
  <si>
    <t>nvision-imaging-technologies</t>
  </si>
  <si>
    <t>NVision Imaging Technologies</t>
  </si>
  <si>
    <t>NVision Imaging Technologies is a Ulm-based quantum technology company for healthcare that engineers and controls the quantum properties of organic molecules to power metabolic measurement and quantum computing platforms.</t>
  </si>
  <si>
    <t>Ulm, Baden-Wurttemberg, Germany, Europe</t>
  </si>
  <si>
    <t>nvision-imaging.com</t>
  </si>
  <si>
    <t>https://pitchbook.com/profiles/company/223478-65</t>
  </si>
  <si>
    <t>https://x.com/nvisionquantum</t>
  </si>
  <si>
    <t>2026-03-16 23:03:26.430061+00</t>
  </si>
  <si>
    <t>2026-05-26 23:32:30.736817+00</t>
  </si>
  <si>
    <t>bitcoin-hyper</t>
  </si>
  <si>
    <t>Bitcoin Hyper</t>
  </si>
  <si>
    <t>Bitcoin Hyper is building a high-speed Layer-2 network that uses the Solana Virtual Machine to enable sub-second, near-zero-cost smart-contract and transaction execution for Bitcoin.</t>
  </si>
  <si>
    <t>bitcoinhyper.com</t>
  </si>
  <si>
    <t>https://x.com/BitcoinHypers?ref_src=twsrc%5Egoogle%7Ctwcamp%5Eserp%7Ctwgr%5Eauthor</t>
  </si>
  <si>
    <t>office.ceohq@gmail.com</t>
  </si>
  <si>
    <t>2026-01-06 00:30:26.362904+00</t>
  </si>
  <si>
    <t>2026-05-26 23:32:30.726495+00</t>
  </si>
  <si>
    <t>contrario</t>
  </si>
  <si>
    <t>Contrario</t>
  </si>
  <si>
    <t>Contrario is an AI-native recruiting platform that combines expert recruiters with AI agents to automate operational recruiting tasks for high-growth companies.</t>
  </si>
  <si>
    <t>contrario.ai</t>
  </si>
  <si>
    <t>contrario-ai</t>
  </si>
  <si>
    <t>https://pitchbook.com/profiles/company/747011-89</t>
  </si>
  <si>
    <t>https://x.com/ContrarioAI</t>
  </si>
  <si>
    <t>2026-05-26 23:32:30.719707+00</t>
  </si>
  <si>
    <t>deepip</t>
  </si>
  <si>
    <t>DeepIP</t>
  </si>
  <si>
    <t>DeepIP provides an AI-powered, workflow-native platform that supports patent professionals across the entire patent lifecycle.</t>
  </si>
  <si>
    <t>deepip.ai</t>
  </si>
  <si>
    <t>deep-ip</t>
  </si>
  <si>
    <t>https://pitchbook.com/profiles/company/591225-49</t>
  </si>
  <si>
    <t>2026-05-26 23:32:30.67057+00</t>
  </si>
  <si>
    <t>kalpi</t>
  </si>
  <si>
    <t>Kalpi</t>
  </si>
  <si>
    <t>Kalpi is a Hyderabad-based fintech startup building a rule-based systematic investing platform for retail and institutional investors.</t>
  </si>
  <si>
    <t>kalpi.ai</t>
  </si>
  <si>
    <t>kalpi-ai</t>
  </si>
  <si>
    <t>2026-05-26 23:32:30.657703+00</t>
  </si>
  <si>
    <t>orkes</t>
  </si>
  <si>
    <t>Orkes</t>
  </si>
  <si>
    <t>Orkes is the company behind Conductor, a durable orchestration and runtime platform for building reliable, long-running workflows and AI agents.</t>
  </si>
  <si>
    <t>orkes.io</t>
  </si>
  <si>
    <t>orkes-inc</t>
  </si>
  <si>
    <t>https://pitchbook.com/profiles/company/492976-18</t>
  </si>
  <si>
    <t>https://twitter.com/orkesio</t>
  </si>
  <si>
    <t>2026-05-26 23:32:30.626521+00</t>
  </si>
  <si>
    <t>perplant</t>
  </si>
  <si>
    <t>PerPlant</t>
  </si>
  <si>
    <t>Perplant is a Danish AgTech startup that develops Edge AI camera sensors mounted on tractors to enable real-time field monitoring and precise spraying.</t>
  </si>
  <si>
    <t>perplant.ai</t>
  </si>
  <si>
    <t>https://pitchbook.com/profiles/company/518381-47</t>
  </si>
  <si>
    <t>sumod@perplant.ai</t>
  </si>
  <si>
    <t>2026-05-26 23:32:30.612125+00</t>
  </si>
  <si>
    <t>calyxo</t>
  </si>
  <si>
    <t>calyxo-b1ba</t>
  </si>
  <si>
    <t>Calyxo</t>
  </si>
  <si>
    <t>Calyxo is a medical device company that develops the CVAC System, an irrigation-and-vacuum aspiration-based solution for minimally invasive kidney stone removal.</t>
  </si>
  <si>
    <t>calyxoinc.com</t>
  </si>
  <si>
    <t>kalera-medical-inc</t>
  </si>
  <si>
    <t>https://pitchbook.com/profiles/company/167201-83</t>
  </si>
  <si>
    <t>info@calyxoinc.com</t>
  </si>
  <si>
    <t>(925) 526-5900</t>
  </si>
  <si>
    <t>2026-05-26 23:32:30.585266+00</t>
  </si>
  <si>
    <t>cauridor</t>
  </si>
  <si>
    <t>Cauridor</t>
  </si>
  <si>
    <t>Cauridor is a fintech company specialised in cross-border payment infrastructure.</t>
  </si>
  <si>
    <t>Lewes, Delaware, United States, North America</t>
  </si>
  <si>
    <t>cauridor.com</t>
  </si>
  <si>
    <t>https://pitchbook.com/profiles/company/552746-62</t>
  </si>
  <si>
    <t>2025-07-21 13:14:25.184063+00</t>
  </si>
  <si>
    <t>2026-05-26 23:32:30.573477+00</t>
  </si>
  <si>
    <t>century-health</t>
  </si>
  <si>
    <t>Century Health</t>
  </si>
  <si>
    <t>Century Health is a health technology company that applies AI to curate and supply high-quality real-world clinical data for research and life sciences.</t>
  </si>
  <si>
    <t>century.health</t>
  </si>
  <si>
    <t>centuryhealth</t>
  </si>
  <si>
    <t>https://pitchbook.com/profiles/company/572351-23</t>
  </si>
  <si>
    <t>contact@century.health</t>
  </si>
  <si>
    <t>2026-05-26 23:32:30.544152+00</t>
  </si>
  <si>
    <t>little-pepe</t>
  </si>
  <si>
    <t>Little Pepe</t>
  </si>
  <si>
    <t>Little Pepe combines meme-token branding with a custom Layer 2 blockchain providing fast, low-fee, Ethereum-compatible transactions, built-in anti-sniper and automatic liquidity-lock security, staking and a meme launchpad.</t>
  </si>
  <si>
    <t>littlepepe.com</t>
  </si>
  <si>
    <t>https://x.com/littlepepetoken</t>
  </si>
  <si>
    <t>2025-08-15 22:00:27.830966+00</t>
  </si>
  <si>
    <t>2026-05-26 23:32:30.541788+00</t>
  </si>
  <si>
    <t>li.fi</t>
  </si>
  <si>
    <t>li-finance-fbae</t>
  </si>
  <si>
    <t>LI.FI</t>
  </si>
  <si>
    <t>LI.FI is a non-custodial, open-source protocol that aggregates bridges and decentralized exchanges to give developers a single API for on-chain swaps and cross-chain liquidity.</t>
  </si>
  <si>
    <t>lifiprotocol</t>
  </si>
  <si>
    <t>https://pitchbook.com/profiles/company/494790-85</t>
  </si>
  <si>
    <t>https://x.com/lifiprotocol</t>
  </si>
  <si>
    <t>2026-05-26 23:32:30.510425+00</t>
  </si>
  <si>
    <t>midocean-energy</t>
  </si>
  <si>
    <t>MidOcean Energy</t>
  </si>
  <si>
    <t>MidOcean Energy is an LNG company formed and managed by EIG that seeks to build a diversified, resilient global LNG portfolio.</t>
  </si>
  <si>
    <t>Washington, New Hampshire, United States, North America</t>
  </si>
  <si>
    <t>midoceanenergy.com</t>
  </si>
  <si>
    <t>midoceanenergy</t>
  </si>
  <si>
    <t>https://pitchbook.com/profiles/company/510316-93</t>
  </si>
  <si>
    <t>(202) 600-3300</t>
  </si>
  <si>
    <t>2026-05-26 23:32:30.487781+00</t>
  </si>
  <si>
    <t>alcolase</t>
  </si>
  <si>
    <t>Alcolase</t>
  </si>
  <si>
    <t>Alcolase is a Danish biotech startup developing enzyme technology to tackle alcohol intolerance.</t>
  </si>
  <si>
    <t>alcolase.com</t>
  </si>
  <si>
    <t>https://pitchbook.com/profiles/company/513332-92</t>
  </si>
  <si>
    <t>mail@alcolase.com</t>
  </si>
  <si>
    <t>2026-05-26 23:32:30.442033+00</t>
  </si>
  <si>
    <t>pramatra-space</t>
  </si>
  <si>
    <t>Pramatra Space</t>
  </si>
  <si>
    <t>Pramatra Space builds quantum-secure communications infrastructure, including hardware and software for post-quantum cryptography and quantum key distribution for space and terrestrial networks.</t>
  </si>
  <si>
    <t>pramatra.space</t>
  </si>
  <si>
    <t>https://pitchbook.com/profiles/company/607672-99</t>
  </si>
  <si>
    <t>2026-05-26 23:32:30.434756+00</t>
  </si>
  <si>
    <t>moritz</t>
  </si>
  <si>
    <t>Moritz</t>
  </si>
  <si>
    <t>Moritz is a legal technology startup that combines artificial intelligence with a network of lawyers to streamline commercial legal work.</t>
  </si>
  <si>
    <t>moritzlegal.com</t>
  </si>
  <si>
    <t>2026-05-05 12:00:37.680011+00</t>
  </si>
  <si>
    <t>2026-05-26 23:32:30.405755+00</t>
  </si>
  <si>
    <t>sonomind</t>
  </si>
  <si>
    <t>Sonomind</t>
  </si>
  <si>
    <t>Sonomind is a French deeptech company developing non-invasive ultrasound treatments for mental illnesses, focused on resistant depression.</t>
  </si>
  <si>
    <t>sonomind.com</t>
  </si>
  <si>
    <t>https://pitchbook.com/profiles/company/1082872-18</t>
  </si>
  <si>
    <t>2025-09-24 13:30:28.260982+00</t>
  </si>
  <si>
    <t>2026-05-26 23:32:30.39606+00</t>
  </si>
  <si>
    <t>decart-1</t>
  </si>
  <si>
    <t>decart-abcd</t>
  </si>
  <si>
    <t>Decart</t>
  </si>
  <si>
    <t>Decart is an Israeli AI company building real-time AI infrastructure and a world-model platform.</t>
  </si>
  <si>
    <t>decart.ai</t>
  </si>
  <si>
    <t>decart-ai</t>
  </si>
  <si>
    <t>https://pitchbook.com/profiles/company/559404-64</t>
  </si>
  <si>
    <t>https://x.com/DecartAI</t>
  </si>
  <si>
    <t>Johrenk7@gmail.com</t>
  </si>
  <si>
    <t>2025-07-20 00:22:31.378296+00</t>
  </si>
  <si>
    <t>2026-05-26 23:32:30.387122+00</t>
  </si>
  <si>
    <t>lucra-sports</t>
  </si>
  <si>
    <t>Lucra Sports</t>
  </si>
  <si>
    <t>Lucra Sports is a B2B software platform that converts corporate loyalty programs into interactive, eSports-like events and tournaments where customers can compete and win cash or giveaways.</t>
  </si>
  <si>
    <t>lucrasports.com</t>
  </si>
  <si>
    <t>https://pitchbook.com/profiles/company/462168-64</t>
  </si>
  <si>
    <t>2026-05-26 23:32:30.366409+00</t>
  </si>
  <si>
    <t>relay-6</t>
  </si>
  <si>
    <t>relay-financial</t>
  </si>
  <si>
    <t>Relay</t>
  </si>
  <si>
    <t>Relay is a digital small business banking and money management platform that unifies accounts, cards, bills, invoices, and capital for entrepreneurs.</t>
  </si>
  <si>
    <t>relayfi.com</t>
  </si>
  <si>
    <t>https://pitchbook.com/profiles/company/439345-36</t>
  </si>
  <si>
    <t>https://x.com/bankwithrelay</t>
  </si>
  <si>
    <t>support@relayfi.com</t>
  </si>
  <si>
    <t>1-888-205-9304</t>
  </si>
  <si>
    <t>2026-05-26 23:32:30.353273+00</t>
  </si>
  <si>
    <t>lexroom.ai</t>
  </si>
  <si>
    <t>lexroom</t>
  </si>
  <si>
    <t>Lexroom.ai</t>
  </si>
  <si>
    <t>Lexroom.ai is a Milan-based legal AI company that builds AI infrastructure and a proprietary database of verified legal sources for legal professionals.</t>
  </si>
  <si>
    <t>lex-room</t>
  </si>
  <si>
    <t>https://pitchbook.com/profiles/company/533330-74</t>
  </si>
  <si>
    <t>2026-05-26 23:32:30.343408+00</t>
  </si>
  <si>
    <t>knit-health-1</t>
  </si>
  <si>
    <t>Knit Health</t>
  </si>
  <si>
    <t>Knit Health is a developer of clinical intelligence AI software that builds large clinical behavior models trained on EMR data to optimize clinical decision-making.</t>
  </si>
  <si>
    <t>knit.health</t>
  </si>
  <si>
    <t>knit-health-technologies</t>
  </si>
  <si>
    <t>https://pitchbook.com/profiles/company/1192282-66</t>
  </si>
  <si>
    <t>2026-05-12 18:00:45.028314+00</t>
  </si>
  <si>
    <t>2026-05-26 23:32:30.325537+00</t>
  </si>
  <si>
    <t>openlight</t>
  </si>
  <si>
    <t>OpenLight</t>
  </si>
  <si>
    <t>OpenLight is a company that designs custom Photonic Application-Specific Integrated Circuits (PASICs) using a patented heterogeneous silicon photonics process.</t>
  </si>
  <si>
    <t>Goleta, California, United States, North America</t>
  </si>
  <si>
    <t>openlightphotonics.com</t>
  </si>
  <si>
    <t>openlightphotonics</t>
  </si>
  <si>
    <t>https://pitchbook.com/profiles/company/494621-74</t>
  </si>
  <si>
    <t>info@openlightphotonics.com</t>
  </si>
  <si>
    <t>+1 805 880-2000</t>
  </si>
  <si>
    <t>2025-08-26 13:30:27.147987+00</t>
  </si>
  <si>
    <t>2026-05-26 23:32:30.283766+00</t>
  </si>
  <si>
    <t>giva</t>
  </si>
  <si>
    <t>giva-d6b4</t>
  </si>
  <si>
    <t>GIVA</t>
  </si>
  <si>
    <t>GIVA is an omnichannel jewelry startup selling affordable jewelry, gold jewelry, and lab-grown diamonds through physical stores, a website, and an app.</t>
  </si>
  <si>
    <t>giva.co</t>
  </si>
  <si>
    <t>giva-co</t>
  </si>
  <si>
    <t>https://pitchbook.com/profiles/company/454228-93</t>
  </si>
  <si>
    <t>care@giva.co</t>
  </si>
  <si>
    <t>+91 80 4718 9504</t>
  </si>
  <si>
    <t>2026-05-26 23:32:30.22878+00</t>
  </si>
  <si>
    <t>isomorphic-labs</t>
  </si>
  <si>
    <t>Isomorphic Labs</t>
  </si>
  <si>
    <t>Isomorphic Labs is an AI-first drug design and development company building a unified AI drug design engine.</t>
  </si>
  <si>
    <t>isomorphiclabs.com</t>
  </si>
  <si>
    <t>https://pitchbook.com/profiles/company/538055-20</t>
  </si>
  <si>
    <t>https://x.com/isomorphiclabs</t>
  </si>
  <si>
    <t>press@isomorphiclabs.com</t>
  </si>
  <si>
    <t>+1 212 799 9565</t>
  </si>
  <si>
    <t>2026-05-26 23:32:30.21547+00</t>
  </si>
  <si>
    <t>cvrd-health</t>
  </si>
  <si>
    <t>CVRD Health</t>
  </si>
  <si>
    <t>CVRD Health is a benefits optimization and compliance platform that helps federal government contractors manage fringe benefit obligations and administration.</t>
  </si>
  <si>
    <t>Mclean, Virginia, United States, North America</t>
  </si>
  <si>
    <t>becvrd.com</t>
  </si>
  <si>
    <t>cvrdhealth</t>
  </si>
  <si>
    <t>https://pitchbook.com/profiles/company/862784-29</t>
  </si>
  <si>
    <t>2026-05-21 19:00:51.470474+00</t>
  </si>
  <si>
    <t>2026-05-26 23:32:30.197049+00</t>
  </si>
  <si>
    <t>mave-health</t>
  </si>
  <si>
    <t>Mave Health</t>
  </si>
  <si>
    <t>Mave Health makes a consumer neuromodulation headset using transcranial direct current stimulation (tDCS) to improve attention, mood, stress regulation and track mental-health metrics.</t>
  </si>
  <si>
    <t>mavehealth.com</t>
  </si>
  <si>
    <t>mavehealth</t>
  </si>
  <si>
    <t>https://pitchbook.com/profiles/company/593048-17</t>
  </si>
  <si>
    <t>contact@mavehealth.com</t>
  </si>
  <si>
    <t>+91 81239 95355</t>
  </si>
  <si>
    <t>2026-05-26 23:32:30.190748+00</t>
  </si>
  <si>
    <t>bisedge</t>
  </si>
  <si>
    <t>bisedge-ltd</t>
  </si>
  <si>
    <t>Bisedge</t>
  </si>
  <si>
    <t>Bisedge Logistics and Infrastructure provides zero-capex outsourced and long-term rental electric material handling fleets (forklifts, reach trucks, tractors) as an exclusive Linde Material Handling partner across parts of Africa and the Gulf region</t>
  </si>
  <si>
    <t>Lagos, Lagos, Nigeria, Africa</t>
  </si>
  <si>
    <t>bisedge.net</t>
  </si>
  <si>
    <t>https://pitchbook.com/profiles/company/554532-31</t>
  </si>
  <si>
    <t>2026-05-26 23:32:30.171557+00</t>
  </si>
  <si>
    <t>brami</t>
  </si>
  <si>
    <t>Brami</t>
  </si>
  <si>
    <t>Brami is a San Diego-based food company that produces protein-fortified pasta by blending durum wheat semolina with lupini beans.</t>
  </si>
  <si>
    <t>bramisnacks.com</t>
  </si>
  <si>
    <t>https://www.twitter.com/bramibeans</t>
  </si>
  <si>
    <t>info@bramibeans.com</t>
  </si>
  <si>
    <t>2026-05-26 23:32:30.16941+00</t>
  </si>
  <si>
    <t>infrawatch</t>
  </si>
  <si>
    <t>Infrawatch</t>
  </si>
  <si>
    <t>Infrawatch is a London-based cybersecurity startup building an Internet Infrastructure Intelligence Layer for cyber threat detection, fraud prevention, and online investigations.</t>
  </si>
  <si>
    <t>infrawatch.com</t>
  </si>
  <si>
    <t>infrawatch-com</t>
  </si>
  <si>
    <t>https://pitchbook.com/profiles/company/1233072-73</t>
  </si>
  <si>
    <t>https://x.com/infrawatch_app</t>
  </si>
  <si>
    <t>2026-05-26 23:32:30.147429+00</t>
  </si>
  <si>
    <t>neuralink</t>
  </si>
  <si>
    <t>Neuralink</t>
  </si>
  <si>
    <t>Neuralink is a neurotechnology startup developing implantable brain-computer interface devices intended to restore mobility, speech, and vision.</t>
  </si>
  <si>
    <t>Fremont, California, United States, North America</t>
  </si>
  <si>
    <t>neuralink.com</t>
  </si>
  <si>
    <t>https://pitchbook.com/profiles/company/179115-22</t>
  </si>
  <si>
    <t>https://x.com/neuralink</t>
  </si>
  <si>
    <t>info@neuralink.com</t>
  </si>
  <si>
    <t>+1 650 342 9600</t>
  </si>
  <si>
    <t>2026-05-26 23:32:30.144988+00</t>
  </si>
  <si>
    <t>benefitbay</t>
  </si>
  <si>
    <t>Benefitbay</t>
  </si>
  <si>
    <t>benefitbay is an individual coverage health reimbursement arrangement (ICHRA) platform that partners with brokers, employers, and carriers to provide enrollment, payments, compliance, and administration infrastructure.</t>
  </si>
  <si>
    <t>benefitbay.com</t>
  </si>
  <si>
    <t>https://pitchbook.com/profiles/company/106938-19</t>
  </si>
  <si>
    <t>https://x.com/benefitbay</t>
  </si>
  <si>
    <t>info@benefitbay.com</t>
  </si>
  <si>
    <t>2026-05-26 23:32:30.129375+00</t>
  </si>
  <si>
    <t>finapsys</t>
  </si>
  <si>
    <t>Finapsys</t>
  </si>
  <si>
    <t>Finapsys is a Chilean fintech that automates and optimizes financial billing and reconciliation between clinics, insurers and patients.</t>
  </si>
  <si>
    <t>finapsys.cl</t>
  </si>
  <si>
    <t>https://pitchbook.com/profiles/company/722752-75</t>
  </si>
  <si>
    <t>2026-05-15 18:00:54.86669+00</t>
  </si>
  <si>
    <t>2026-05-26 21:13:32.15466+00</t>
  </si>
  <si>
    <t>soomiq</t>
  </si>
  <si>
    <t>SOOMIQ</t>
  </si>
  <si>
    <t>SOOMIQ develops the PowerQube‚Äîa compact, modular 20 kW Organic Rankine Cycle (ORC) micro‚Äëpower plant that directly converts low‚Äëtemperature industrial waste heat (‚âà110‚Äì200‚ÄØ¬∞C) into on‚Äësite electricity, with a KIT demo planned and a ‚Ç¨500k funding round to reach pilot deployment.</t>
  </si>
  <si>
    <t>powerqube.net</t>
  </si>
  <si>
    <t>2026-05-26 21:13:32.078853+00</t>
  </si>
  <si>
    <t>nof1</t>
  </si>
  <si>
    <t>Nof1</t>
  </si>
  <si>
    <t>Nof1 is an AI research lab that trains frontier models focused on financial markets and runs live experiments where models autonomously trade real capital.</t>
  </si>
  <si>
    <t>nof1.ai</t>
  </si>
  <si>
    <t>thenof1</t>
  </si>
  <si>
    <t>https://pitchbook.com/profiles/company/1389911-41</t>
  </si>
  <si>
    <t>https://x.com/the_nof1</t>
  </si>
  <si>
    <t>2026-05-15 19:00:53.660331+00</t>
  </si>
  <si>
    <t>2026-05-26 21:13:31.869373+00</t>
  </si>
  <si>
    <t>femi-on</t>
  </si>
  <si>
    <t>Femi-ON</t>
  </si>
  <si>
    <t>Femi-ON is a Bonn-based MedTech startup developing a medical device that aims to relieve menstrual pain using vibration instead of medication.</t>
  </si>
  <si>
    <t>femi-on.com</t>
  </si>
  <si>
    <t>https://pitchbook.com/profiles/company/756563-14</t>
  </si>
  <si>
    <t>2026-05-26 20:19:07.095237+00</t>
  </si>
  <si>
    <t>aquanta-vision</t>
  </si>
  <si>
    <t>Aquanta Vision</t>
  </si>
  <si>
    <t>Aquanta Vision is a methane detection company that provides optical gas imaging (OGI) detection software to identify and monitor methane leaks.</t>
  </si>
  <si>
    <t>aquantavision.com</t>
  </si>
  <si>
    <t>https://pitchbook.com/profiles/company/631419-58</t>
  </si>
  <si>
    <t>2026-05-19 16:00:53.06191+00</t>
  </si>
  <si>
    <t>2026-05-26 20:07:37.102052+00</t>
  </si>
  <si>
    <t>proencia-biotechnology</t>
  </si>
  <si>
    <t>ProEncia Biotechnology</t>
  </si>
  <si>
    <t>ProEncia Biotechnology is a Minnesota-based biopharma startup developing novel, non-toxic, non-invasive treatments for periodontal disease.</t>
  </si>
  <si>
    <t>proenciabio.com</t>
  </si>
  <si>
    <t>contact@proenciabio.com</t>
  </si>
  <si>
    <t>2026-05-19 18:00:50.986791+00</t>
  </si>
  <si>
    <t>2026-05-26 19:36:21.073151+00</t>
  </si>
  <si>
    <t>blank-bio</t>
  </si>
  <si>
    <t>Blank Bio</t>
  </si>
  <si>
    <t>Blank Bio is an applied AI research lab training RNA foundation models to extract patient-level variation from bulk RNA-seq for precision oncology.</t>
  </si>
  <si>
    <t>blank.bio</t>
  </si>
  <si>
    <t>https://pitchbook.com/profiles/company/1083511-90</t>
  </si>
  <si>
    <t>https://x.com/blankbio_</t>
  </si>
  <si>
    <t>hello@blank.bio</t>
  </si>
  <si>
    <t>2026-05-26 19:36:19.116677+00</t>
  </si>
  <si>
    <t>kabloie</t>
  </si>
  <si>
    <t>Kabloie</t>
  </si>
  <si>
    <t>Kabloie is a mobile-first, algorithm-driven short-form audio platform that personalizes audio discovery and consumption.</t>
  </si>
  <si>
    <t>kabloie.com</t>
  </si>
  <si>
    <t>https://pitchbook.com/profiles/company/1389159-28</t>
  </si>
  <si>
    <t>2026-05-15 16:00:46.846399+00</t>
  </si>
  <si>
    <t>2026-05-26 19:36:16.877233+00</t>
  </si>
  <si>
    <t>mark-2</t>
  </si>
  <si>
    <t>Mark</t>
  </si>
  <si>
    <t>Mark II is a smart physical bookmark that lets readers highlight text and record voice notes while reading, syncing everything to a companion app that organizes, searches, and turns your notes into personalized insights.</t>
  </si>
  <si>
    <t>thinkwithmark.com</t>
  </si>
  <si>
    <t>thinkwithmark</t>
  </si>
  <si>
    <t>https://x.com/thinkwithmark</t>
  </si>
  <si>
    <t>2026-05-15 17:02:11.413038+00</t>
  </si>
  <si>
    <t>2026-05-26 19:36:16.800318+00</t>
  </si>
  <si>
    <t>bardafunds</t>
  </si>
  <si>
    <t>Bardafunds</t>
  </si>
  <si>
    <t>Bardafunds is a digital finance platform that enables secure, inclusive access to emerging investment tools while building community trust.</t>
  </si>
  <si>
    <t>2026-05-22 18:00:37.771596+00</t>
  </si>
  <si>
    <t>2026-05-26 19:36:16.342567+00</t>
  </si>
  <si>
    <t>ascension</t>
  </si>
  <si>
    <t>Ascension</t>
  </si>
  <si>
    <t>Ascension is a company focused on recovering critical minerals from geothermal resources.</t>
  </si>
  <si>
    <t>ascension.global</t>
  </si>
  <si>
    <t>ascension-earth-resources</t>
  </si>
  <si>
    <t>2026-04-15 23:03:01.849412+00</t>
  </si>
  <si>
    <t>2026-05-26 19:11:32.383427+00</t>
  </si>
  <si>
    <t>tokaido-health</t>
  </si>
  <si>
    <t>Tokaido Health</t>
  </si>
  <si>
    <t>Tokaido Health is an AI-native medication steerage platform that uses behavioral economics to identify lower-cost, same-or-better medications and guide members to more cost-effective sites of care.</t>
  </si>
  <si>
    <t>tokaidohealth.com</t>
  </si>
  <si>
    <t>https://pitchbook.com/profiles/company/1380140-83</t>
  </si>
  <si>
    <t>2026-05-15 13:00:31.698073+00</t>
  </si>
  <si>
    <t>2026-05-26 17:23:44.042901+00</t>
  </si>
  <si>
    <t>pickleball</t>
  </si>
  <si>
    <t>Pickleball</t>
  </si>
  <si>
    <t>Pickleball Inc. is the newly formed parent company that consolidates the Carvana PPA Tour, Major League Pickleball, retail, media, facilities, and pickleball technology assets.</t>
  </si>
  <si>
    <t>pickleball.com</t>
  </si>
  <si>
    <t>pickleball-inc</t>
  </si>
  <si>
    <t>https://x.com/pickleball_com</t>
  </si>
  <si>
    <t>2026-05-01 15:00:33.620547+00</t>
  </si>
  <si>
    <t>2026-05-26 17:23:43.93966+00</t>
  </si>
  <si>
    <t>cashfree</t>
  </si>
  <si>
    <t>Cashfree Payments</t>
  </si>
  <si>
    <t>Cashfree is a Bangalore-based payments platform providing payment processing, identity verification (SecureID), disbursements and bulk transfers across bank/UPI/wallets, marketplace settlements, banking integrations, analytics, and cross-border payment APIs.</t>
  </si>
  <si>
    <t>cashfree.com</t>
  </si>
  <si>
    <t>https://pitchbook.com/profiles/company/121702-96</t>
  </si>
  <si>
    <t>https://www.twitter.com/gocashfree</t>
  </si>
  <si>
    <t>support@cashfree.com</t>
  </si>
  <si>
    <t>2026-05-26 17:08:16.078633+00</t>
  </si>
  <si>
    <t>capzlog-aero</t>
  </si>
  <si>
    <t>capzlog.aero</t>
  </si>
  <si>
    <t>capzlog.aero is a Swiss digital pilot logbook platform providing structured, EASA-aligned logbooks and flight data management for professional and private aviation.</t>
  </si>
  <si>
    <t>2026-05-26 16:47:41.498923+00</t>
  </si>
  <si>
    <t>radar-4</t>
  </si>
  <si>
    <t>goradar</t>
  </si>
  <si>
    <t>Radar</t>
  </si>
  <si>
    <t>RADAR is an AI-powered retail intelligence platform that combines proprietary overhead sensors, software, and analytics to deliver real-time, item-level inventory visibility.</t>
  </si>
  <si>
    <t>goradar.com</t>
  </si>
  <si>
    <t>useradar</t>
  </si>
  <si>
    <t>https://pitchbook.com/profiles/company/98443-72</t>
  </si>
  <si>
    <t>hello@goradar.com</t>
  </si>
  <si>
    <t>914-303-6310</t>
  </si>
  <si>
    <t>2026-05-26 15:34:04.667216+00</t>
  </si>
  <si>
    <t>siam-digital-lending</t>
  </si>
  <si>
    <t>Siam Digital Lending</t>
  </si>
  <si>
    <t>Siam Digital Lending is a Thai consumer lending fintech that uses AI-driven underwriting to provide personal and nano loans.</t>
  </si>
  <si>
    <t>siamdl.co.th</t>
  </si>
  <si>
    <t>siamdigitallending</t>
  </si>
  <si>
    <t>2026-05-01 12:00:29.725375+00</t>
  </si>
  <si>
    <t>2026-05-26 15:33:58.685689+00</t>
  </si>
  <si>
    <t>kaisar-network</t>
  </si>
  <si>
    <t>Kaisar Network</t>
  </si>
  <si>
    <t>Kaisar Network is a decentralized AI computing Layer 1 network that provides access to decentralized GPU computing, AI credits, and proxy services.</t>
  </si>
  <si>
    <t>Hanoi, NA - Vietnam, Vietnam, Asia</t>
  </si>
  <si>
    <t>kaisar.io</t>
  </si>
  <si>
    <t>https://pitchbook.com/profiles/company/640479-34</t>
  </si>
  <si>
    <t>https://x.com/KaisarNetwork</t>
  </si>
  <si>
    <t>2026-05-26 15:33:58.314858+00</t>
  </si>
  <si>
    <t>lumian-1</t>
  </si>
  <si>
    <t>lumian-9d76</t>
  </si>
  <si>
    <t>Lumian</t>
  </si>
  <si>
    <t>Lumian is an AI-native Amazon agency that pairs AI agents with experienced operators to run listings, advertising, inventory, and account health for Amazon brands.</t>
  </si>
  <si>
    <t>lumian.ai</t>
  </si>
  <si>
    <t>lumian-ai</t>
  </si>
  <si>
    <t>https://pitchbook.com/profiles/company/1162402-93</t>
  </si>
  <si>
    <t>(857) 298-9183</t>
  </si>
  <si>
    <t>2026-04-29 20:00:35.854416+00</t>
  </si>
  <si>
    <t>2026-05-26 15:33:58.057115+00</t>
  </si>
  <si>
    <t>fun-1</t>
  </si>
  <si>
    <t>Fun</t>
  </si>
  <si>
    <t>Fun builds back-end rails that let platforms and apps accept deposits and process withdrawals in crypto and fiat currencies.</t>
  </si>
  <si>
    <t>fun.xyz</t>
  </si>
  <si>
    <t>funxyz</t>
  </si>
  <si>
    <t>https://pitchbook.com/profiles/company/512327-89</t>
  </si>
  <si>
    <t>2026-05-01 13:00:39.102656+00</t>
  </si>
  <si>
    <t>2026-05-26 15:33:57.090401+00</t>
  </si>
  <si>
    <t>omaia</t>
  </si>
  <si>
    <t>Omaia</t>
  </si>
  <si>
    <t>Omaia is a Swedish startup building a platform to support expectant parents' mental health during pregnancy.</t>
  </si>
  <si>
    <t>omaia.ai</t>
  </si>
  <si>
    <t>omaia-health</t>
  </si>
  <si>
    <t>2026-05-26 15:33:57.021956+00</t>
  </si>
  <si>
    <t>chance-studios</t>
  </si>
  <si>
    <t>Chance Studios</t>
  </si>
  <si>
    <t>Chance Studios is building a superapp for trading card game (TCG) collectors that combines instant liquidity, transparent transactions, and social community features.</t>
  </si>
  <si>
    <t>2026-05-26 15:33:56.952586+00</t>
  </si>
  <si>
    <t>vnyx</t>
  </si>
  <si>
    <t>VNYX</t>
  </si>
  <si>
    <t>VNYX is an Amsterdam-based FashionTech startup that automates resale processing for returns, overstock and second-hand garments.</t>
  </si>
  <si>
    <t>vnyx.ai</t>
  </si>
  <si>
    <t>2026-05-26 15:33:56.880329+00</t>
  </si>
  <si>
    <t>creati-gen-ai</t>
  </si>
  <si>
    <t>creati-ai</t>
  </si>
  <si>
    <t>Creati Gen AI</t>
  </si>
  <si>
    <t>Creati Gen AI is an AI-powered creative tools company that builds conversational video-editing products including Creati Studio and Buzzy.</t>
  </si>
  <si>
    <t>creati.studio</t>
  </si>
  <si>
    <t>https://pitchbook.com/profiles/company/772527-79</t>
  </si>
  <si>
    <t>hello@creatitstudio.com</t>
  </si>
  <si>
    <t>2026-04-30 17:00:33.286234+00</t>
  </si>
  <si>
    <t>2026-05-26 15:33:56.527775+00</t>
  </si>
  <si>
    <t>eagleprojects</t>
  </si>
  <si>
    <t>Eagleprojects</t>
  </si>
  <si>
    <t>Eagleprojects is an Umbrian digital engineering firm providing integrated robotics and AI services for monitoring and managing critical infrastructure.</t>
  </si>
  <si>
    <t>eagleprojects.it</t>
  </si>
  <si>
    <t>https://pitchbook.com/profiles/company/422577-91</t>
  </si>
  <si>
    <t>2026-05-26 15:33:56.45322+00</t>
  </si>
  <si>
    <t>standard-intelligence</t>
  </si>
  <si>
    <t>Standard Intelligence</t>
  </si>
  <si>
    <t>Standard Intelligence is an AI startup developing foundation models (FDM-1) intended to optimize everyday computer tasks.</t>
  </si>
  <si>
    <t>si.inc</t>
  </si>
  <si>
    <t>standardintelligence</t>
  </si>
  <si>
    <t>2026-05-26 15:33:56.382344+00</t>
  </si>
  <si>
    <t>nura-studios</t>
  </si>
  <si>
    <t>Nura Studios</t>
  </si>
  <si>
    <t>Nura Studios is a San Francisco-based provider of an animation platform for storytellers to develop and share high-fidelity episodic content.</t>
  </si>
  <si>
    <t>nurastudios.com</t>
  </si>
  <si>
    <t>nurastudios</t>
  </si>
  <si>
    <t>2026-05-26 15:33:56.311354+00</t>
  </si>
  <si>
    <t>oberland-biotech</t>
  </si>
  <si>
    <t>Oberland Biotech</t>
  </si>
  <si>
    <t>Oberland Biotech is a biotechnology and nutritional food company that trades, sells, and exports nutritional supplements and food products internationally.</t>
  </si>
  <si>
    <t>oberlandbiotech.com</t>
  </si>
  <si>
    <t>https://pitchbook.com/profiles/company/1366625-17</t>
  </si>
  <si>
    <t>2026-05-26 15:33:56.238659+00</t>
  </si>
  <si>
    <t>sarasota-ai</t>
  </si>
  <si>
    <t>Sarasota AI</t>
  </si>
  <si>
    <t>Sarasota AI is an AI startup developing energy-efficient chip technology.</t>
  </si>
  <si>
    <t>2026-05-26 15:33:56.136052+00</t>
  </si>
  <si>
    <t>shatterdome-energy</t>
  </si>
  <si>
    <t>shatterdome-df59</t>
  </si>
  <si>
    <t>Shatterdome Energy</t>
  </si>
  <si>
    <t>Shatterdome Energy is an AI-driven energy trading and intelligence startup that coordinates renewable generation, battery storage, and flexible demand into a virtual power plant and executes programmatic energy trades.</t>
  </si>
  <si>
    <t>Delaware, New Jersey, United States, North America</t>
  </si>
  <si>
    <t>shatterdome.energy</t>
  </si>
  <si>
    <t>https://pitchbook.com/profiles/company/1308569-23</t>
  </si>
  <si>
    <t>contact@shatterdome.energy</t>
  </si>
  <si>
    <t>+1 (757) 573-9364</t>
  </si>
  <si>
    <t>2026-05-26 14:30:40.612255+00</t>
  </si>
  <si>
    <t>k-sport-world</t>
  </si>
  <si>
    <t>k-sport</t>
  </si>
  <si>
    <t>K-Sport</t>
  </si>
  <si>
    <t>K-Sport is an Italian sport-tech company that develops AI- and data-driven systems for performance and match analysis for clubs, national teams and athletes.</t>
  </si>
  <si>
    <t>Pesaro, Marche, Italy, Europe</t>
  </si>
  <si>
    <t>k-sport.tech</t>
  </si>
  <si>
    <t>k-sportworld</t>
  </si>
  <si>
    <t>https://pitchbook.com/profiles/company/412705-18</t>
  </si>
  <si>
    <t>https://twitter.com/KSportWorld</t>
  </si>
  <si>
    <t>website@k-sport.tech</t>
  </si>
  <si>
    <t>2026-05-26 14:30:40.356496+00</t>
  </si>
  <si>
    <t>matriq-atommethode</t>
  </si>
  <si>
    <t>matriq-18fe</t>
  </si>
  <si>
    <t>MatriQ Atommethode</t>
  </si>
  <si>
    <t>MatriQ Atommethode (Hangzhou Atomic Matrix Computing Co., Ltd.) develops neutral-atom quantum computers and full-system engineering for scalable qubit arrays and commercial delivery</t>
  </si>
  <si>
    <t>2026-05-26 14:30:40.074119+00</t>
  </si>
  <si>
    <t>trackk</t>
  </si>
  <si>
    <t>Trackk</t>
  </si>
  <si>
    <t>Trackk is a modern stock market and trading platform primarily focused on the Indian markets.</t>
  </si>
  <si>
    <t>trackk.in</t>
  </si>
  <si>
    <t>trackk-new-gen-trading</t>
  </si>
  <si>
    <t>2026-05-26 14:12:49.829842+00</t>
  </si>
  <si>
    <t>whoop-1</t>
  </si>
  <si>
    <t>whoop-inc</t>
  </si>
  <si>
    <t>WHOOP</t>
  </si>
  <si>
    <t>Whoop is a fitness and health tracking wearable company that combines hardware and subscription services.</t>
  </si>
  <si>
    <t>whoop.com</t>
  </si>
  <si>
    <t>whoop</t>
  </si>
  <si>
    <t>https://pitchbook.com/profiles/company/64325-80</t>
  </si>
  <si>
    <t>https://x.com/whoop</t>
  </si>
  <si>
    <t>support@whoop.com</t>
  </si>
  <si>
    <t>+1 833-948-0566</t>
  </si>
  <si>
    <t>2026-05-26 14:12:49.827004+00</t>
  </si>
  <si>
    <t>legend-trade</t>
  </si>
  <si>
    <t>Legend Trade</t>
  </si>
  <si>
    <t>Legend Trade is an on-chain trader-to-trader derivatives and trading-competition platform where users compete using perpetual contracts.</t>
  </si>
  <si>
    <t>Weston, Florida, United States, North America</t>
  </si>
  <si>
    <t>legend.trade</t>
  </si>
  <si>
    <t>https://pitchbook.com/profiles/company/1156361-95</t>
  </si>
  <si>
    <t>https://x.com/legendtrade</t>
  </si>
  <si>
    <t>2026-04-30 23:03:46.071154+00</t>
  </si>
  <si>
    <t>2026-05-26 13:31:37.635165+00</t>
  </si>
  <si>
    <t>fiducial</t>
  </si>
  <si>
    <t>fiducial-72ac</t>
  </si>
  <si>
    <t>Fiducial</t>
  </si>
  <si>
    <t>Fiducial is a Delft-based startup that develops computer-vision and control software enabling drones to operate in environments where conventional systems are limited.</t>
  </si>
  <si>
    <t>fdcl.nl</t>
  </si>
  <si>
    <t>fiducialtech</t>
  </si>
  <si>
    <t>https://pitchbook.com/profiles/company/538977-52</t>
  </si>
  <si>
    <t>2026-05-26 13:31:37.373605+00</t>
  </si>
  <si>
    <t>weitao-biotech</t>
  </si>
  <si>
    <t>Weitao Biotech</t>
  </si>
  <si>
    <t>Weitao Biotech is a biotech company developing in‚Äëvivo CAR‚ÄëT therapies using an LNP (lipid nanoparticle) delivery route, with a core pipeline called GT801.</t>
  </si>
  <si>
    <t>2026-05-26 13:31:36.259697+00</t>
  </si>
  <si>
    <t>misti-ai</t>
  </si>
  <si>
    <t>Misti AI</t>
  </si>
  <si>
    <t>Misti AI builds a Physical Observability layer that turns existing industrial camera networks into structured, real-time operational data.</t>
  </si>
  <si>
    <t>mistiai.com</t>
  </si>
  <si>
    <t>mistiai</t>
  </si>
  <si>
    <t>2026-05-26 13:31:36.188878+00</t>
  </si>
  <si>
    <t>jalo</t>
  </si>
  <si>
    <t>Jalo</t>
  </si>
  <si>
    <t>Jalo is a Dutch clean-energy and carbon-removal company developing bioenergy with carbon capture and storage (BECCS) projects.</t>
  </si>
  <si>
    <t>jaloenergy.com</t>
  </si>
  <si>
    <t>jalo-energy</t>
  </si>
  <si>
    <t>2026-05-26 13:31:36.045801+00</t>
  </si>
  <si>
    <t>itrust-6a</t>
  </si>
  <si>
    <t>iTrust 6A</t>
  </si>
  <si>
    <t>iTrust 6A is a legal technology company building a platform to help telecommunications providers manage data disclosure requests from law enforcement.</t>
  </si>
  <si>
    <t>itrust6a.com</t>
  </si>
  <si>
    <t>itrust-6a%e2%84%a2</t>
  </si>
  <si>
    <t>https://pitchbook.com/profiles/company/746612-47</t>
  </si>
  <si>
    <t>2026-05-26 13:31:35.452824+00</t>
  </si>
  <si>
    <t>wagyz</t>
  </si>
  <si>
    <t>Wagyz</t>
  </si>
  <si>
    <t>Wagyz is a payroll and social‚Äëmanagement platform built in partnership with accounting firms to industrialize payroll processes, ensure social compliance, and centralize payroll data.</t>
  </si>
  <si>
    <t>wagyz.fr</t>
  </si>
  <si>
    <t>2026-05-26 13:31:35.383945+00</t>
  </si>
  <si>
    <t>first-answer</t>
  </si>
  <si>
    <t>First Answer</t>
  </si>
  <si>
    <t>First Answer is a Generative Engine Optimization (GEO) startup that monitors and optimizes how brands appear in AI-generated responses.</t>
  </si>
  <si>
    <t>contact@firstanswer.ai</t>
  </si>
  <si>
    <t>2026-05-26 13:31:35.310316+00</t>
  </si>
  <si>
    <t>„Éà„Ç∞„É´„Éõ„Éº„É´„Éá„Ç£„É≥„Ç∞„Çπ</t>
  </si>
  <si>
    <t>toggle-96b6</t>
  </si>
  <si>
    <t>toggle</t>
  </si>
  <si>
    <t>Toggle Holdings is an AI product and solutions provider that builds the "toggle agent" to automate end‚Äëto‚Äëend workflows and operates real-estate digital infrastructure.</t>
  </si>
  <si>
    <t>toggle.co.jp</t>
  </si>
  <si>
    <t>%e3%83%88%e3%82%b0%e3%83%ab%e3%83%9b%e3%83%bc%e3%83%ab%e3%83%87%e3%82%a3%e3%83%b3%e3%82%b0%e3%82%b9</t>
  </si>
  <si>
    <t>https://pitchbook.com/profiles/company/435683-44</t>
  </si>
  <si>
    <t>2026-05-26 13:31:35.041559+00</t>
  </si>
  <si>
    <t>builditindia</t>
  </si>
  <si>
    <t>BuilditIndia</t>
  </si>
  <si>
    <t>BuilditIndia is a technology-enabled B2B construction commerce platform combining a marketplace for building materials, RetailTech project sourcing (Matelio), and a private-label TMT steel brand (TUFFAR) while raising ‚Çπ20 crore to scale toward ‚Çπ150‚Äì200 crore revenue.</t>
  </si>
  <si>
    <t>Ahmedabad, Gujarat, India, Asia</t>
  </si>
  <si>
    <t>builditindia.com</t>
  </si>
  <si>
    <t>https://pitchbook.com/profiles/company/741899-89</t>
  </si>
  <si>
    <t>info@builditindia.com</t>
  </si>
  <si>
    <t>2026-05-26 13:31:34.977327+00</t>
  </si>
  <si>
    <t>superturbine</t>
  </si>
  <si>
    <t>Superturbine</t>
  </si>
  <si>
    <t>Superturbine is a software development company building a game-based music distribution structure that combines games, data, fintech, and blockchain.</t>
  </si>
  <si>
    <t>o2jam.com</t>
  </si>
  <si>
    <t>2026-05-26 13:31:34.904268+00</t>
  </si>
  <si>
    <t>vyko-group</t>
  </si>
  <si>
    <t>Vyko Group</t>
  </si>
  <si>
    <t>Vyko Group is raising ‚Ç¨50 million to create Ireland‚Äôs first luxury goods group by acquiring and scaling Irish fashion, beauty (and potentially food) brands through shared marketing, distribution and operations.</t>
  </si>
  <si>
    <t>2026-05-26 13:31:34.522185+00</t>
  </si>
  <si>
    <t>easysea</t>
  </si>
  <si>
    <t>Easysea</t>
  </si>
  <si>
    <t>Easysea is an Italian company that designs and sells innovative aftermarket accessories for recreational boating.</t>
  </si>
  <si>
    <t>Roma, Lazio, Italy, Europe</t>
  </si>
  <si>
    <t>easysea.org</t>
  </si>
  <si>
    <t>info@easysea.org</t>
  </si>
  <si>
    <t>2026-05-26 13:09:33.884132+00</t>
  </si>
  <si>
    <t>k25-ai-1</t>
  </si>
  <si>
    <t>K25.ai</t>
  </si>
  <si>
    <t>K25.ai is a Singapore-based provider of an APAC-focused AI-native live streaming and watch-to-predict platform.</t>
  </si>
  <si>
    <t>https://x.com/k25dotai</t>
  </si>
  <si>
    <t>2026-05-26 13:05:48.625336+00</t>
  </si>
  <si>
    <t>armada</t>
  </si>
  <si>
    <t>armadaai</t>
  </si>
  <si>
    <t>Armada</t>
  </si>
  <si>
    <t>Armada is the hyperscaler for the edge delivering modular AI infrastructure and modular data centers for high-density training and inference workloads.</t>
  </si>
  <si>
    <t>armada.ai</t>
  </si>
  <si>
    <t>https://pitchbook.com/profiles/company/521456-77</t>
  </si>
  <si>
    <t>https://twitter.com/armada_ai</t>
  </si>
  <si>
    <t>2026-05-26 12:39:35.239563+00</t>
  </si>
  <si>
    <t>iscon-balaji-foods</t>
  </si>
  <si>
    <t>iscon-balaji-food-private</t>
  </si>
  <si>
    <t>Iscon Balaji Foods</t>
  </si>
  <si>
    <t>Iscon Balaji Foods is a Gujarat-based producer of processed frozen potato products such as French fries, hash browns and coated snacks.</t>
  </si>
  <si>
    <t>isconbalajifoods.com</t>
  </si>
  <si>
    <t>iscon-balaji-foods-private-limited</t>
  </si>
  <si>
    <t>https://pitchbook.com/profiles/company/523357-03</t>
  </si>
  <si>
    <t>info@isconbalajifoods.com</t>
  </si>
  <si>
    <t>1800-200-9575</t>
  </si>
  <si>
    <t>2026-05-26 12:39:34.780866+00</t>
  </si>
  <si>
    <t>leadbay</t>
  </si>
  <si>
    <t>leadbay-6249</t>
  </si>
  <si>
    <t>Leadbay</t>
  </si>
  <si>
    <t>Leadbay helps sales teams discover companies that have little or no digital footprint.</t>
  </si>
  <si>
    <t>leadbay.ai</t>
  </si>
  <si>
    <t>https://pitchbook.com/profiles/company/539375-05</t>
  </si>
  <si>
    <t>https://x.com/LeadbayAI</t>
  </si>
  <si>
    <t>contact@leadbay.ai</t>
  </si>
  <si>
    <t>2026-05-19 06:00:44.567045+00</t>
  </si>
  <si>
    <t>2026-05-26 12:39:34.140309+00</t>
  </si>
  <si>
    <t>bunch-1</t>
  </si>
  <si>
    <t>bunch-technology</t>
  </si>
  <si>
    <t>bunch</t>
  </si>
  <si>
    <t>bunch is a Berlin-based fintech that provides an AI-native end-to-end fund operations platform for private markets.</t>
  </si>
  <si>
    <t>bunch.capital</t>
  </si>
  <si>
    <t>bunchcapital</t>
  </si>
  <si>
    <t>https://pitchbook.com/profiles/company/502698-97</t>
  </si>
  <si>
    <t>hi@bunch.capital</t>
  </si>
  <si>
    <t>2026-05-26 12:39:33.109733+00</t>
  </si>
  <si>
    <t>pluang</t>
  </si>
  <si>
    <t>Pluang</t>
  </si>
  <si>
    <t>Pluang is an Indonesian investment platform offering trading in gold, US stocks, cryptocurrency and Indonesian equities.</t>
  </si>
  <si>
    <t>Jakarta, Jakarta Raya, Indonesia, Asia</t>
  </si>
  <si>
    <t>pluang.com</t>
  </si>
  <si>
    <t>https://pitchbook.com/profiles/company/292577-86</t>
  </si>
  <si>
    <t>https://twitter.com/pluang_id</t>
  </si>
  <si>
    <t>tanya@pluang.com</t>
  </si>
  <si>
    <t>+62 21 80630065</t>
  </si>
  <si>
    <t>2026-05-26 12:39:31.138235+00</t>
  </si>
  <si>
    <t>graphon-ai</t>
  </si>
  <si>
    <t>graphon-cdfc</t>
  </si>
  <si>
    <t>Graphon AI</t>
  </si>
  <si>
    <t>Graphon AI develops a pre-model intelligence and relational representation layer that maps hidden structural connections across multimodal enterprise data.</t>
  </si>
  <si>
    <t>graphon.ai</t>
  </si>
  <si>
    <t>https://pitchbook.com/profiles/company/1161197-38</t>
  </si>
  <si>
    <t>2026-05-14 16:00:43.808639+00</t>
  </si>
  <si>
    <t>2026-05-26 12:39:30.032414+00</t>
  </si>
  <si>
    <t>harmix</t>
  </si>
  <si>
    <t>Harmix</t>
  </si>
  <si>
    <t>Harmix is an AI company building Pam (Proactive AI Manager), a platform that consolidates data from over 40 work apps to reduce operational blindness for businesses.</t>
  </si>
  <si>
    <t>harmix.ai</t>
  </si>
  <si>
    <t>harmix-proactive-ai-manager</t>
  </si>
  <si>
    <t>2026-05-26 12:39:21.291443+00</t>
  </si>
  <si>
    <t>osero</t>
  </si>
  <si>
    <t>Osero</t>
  </si>
  <si>
    <t>Osero is a stablecoin yield infrastructure project offering embeddable yield, a consumer app, and on-chain yield products for asset managers.</t>
  </si>
  <si>
    <t>osero.org</t>
  </si>
  <si>
    <t>oserohq</t>
  </si>
  <si>
    <t>2026-05-12 16:00:46.077691+00</t>
  </si>
  <si>
    <t>2026-05-26 12:39:21.228993+00</t>
  </si>
  <si>
    <t>the-sweet-change</t>
  </si>
  <si>
    <t>The Sweet Change</t>
  </si>
  <si>
    <t>The Sweet Change is a New Delhi-based brand that sells natural, zero-calorie and zero-glycemic-index sweetener alternatives to refined sugar.</t>
  </si>
  <si>
    <t>thesweetchange.com</t>
  </si>
  <si>
    <t>support@thesweetchange.com</t>
  </si>
  <si>
    <t>+91 9667821665</t>
  </si>
  <si>
    <t>2026-05-26 12:39:21.15719+00</t>
  </si>
  <si>
    <t>utkrusht-ai</t>
  </si>
  <si>
    <t>Utkrusht AI</t>
  </si>
  <si>
    <t>Utkrusht AI is a Vadodara-based tech hiring startup offering a "Watch-them-Work" live-task assessment platform for technical hiring.</t>
  </si>
  <si>
    <t>utkrusht.ai</t>
  </si>
  <si>
    <t>2026-05-26 12:39:20.897894+00</t>
  </si>
  <si>
    <t>qijing</t>
  </si>
  <si>
    <t>Qijing</t>
  </si>
  <si>
    <t>Qijing is an electric vehicle (EV) brand jointly developed by Guangzhou Automobile Group (GAC) and Huawei.</t>
  </si>
  <si>
    <t>2026-05-26 12:39:20.830499+00</t>
  </si>
  <si>
    <t>fold-1</t>
  </si>
  <si>
    <t>F√îLD</t>
  </si>
  <si>
    <t>F√îLD is an early-stage startup that announced a bridge financing round toward a Series A.</t>
  </si>
  <si>
    <t>bricktribe.com</t>
  </si>
  <si>
    <t>fold-ltd</t>
  </si>
  <si>
    <t>2026-05-26 12:39:20.762874+00</t>
  </si>
  <si>
    <t>ulucus-park</t>
  </si>
  <si>
    <t>ULUCUS PARK</t>
  </si>
  <si>
    <t>ULUCUS PARK is a Sapporo-based wellbeing education startup operating multi-sports and integrated development programmes for children aged 12 and under.</t>
  </si>
  <si>
    <t>ulucuspark.com</t>
  </si>
  <si>
    <t>https://pitchbook.com/profiles/company/1377734-32</t>
  </si>
  <si>
    <t>2026-05-26 12:39:20.695112+00</t>
  </si>
  <si>
    <t>bagbuddy</t>
  </si>
  <si>
    <t>Bagbuddy</t>
  </si>
  <si>
    <t>Bagbuddy provides a rental and subscription service for travel and sports bags‚Äîeverything from bike boxes and surf/ski bags to backpacks and travel buggies‚Äîusing pickup lockers and aiming to scale nationally with retail expansion through crowdfunding.</t>
  </si>
  <si>
    <t>bagbuddy.eu</t>
  </si>
  <si>
    <t>2026-05-26 12:39:20.371628+00</t>
  </si>
  <si>
    <t>legend-of-toys</t>
  </si>
  <si>
    <t>Legend of Toys</t>
  </si>
  <si>
    <t>Legend of Toys is an Indian toy brand selling consumer toy products across play categories.</t>
  </si>
  <si>
    <t>legendoftoys.com</t>
  </si>
  <si>
    <t>https://pitchbook.com/profiles/company/719088-94</t>
  </si>
  <si>
    <t>2026-05-26 12:39:20.302396+00</t>
  </si>
  <si>
    <t>gains</t>
  </si>
  <si>
    <t>gains-app</t>
  </si>
  <si>
    <t>Gains</t>
  </si>
  <si>
    <t>Gains is a personal finance app offering cashback, bill switching, AI-powered insights and proactive budgeting.</t>
  </si>
  <si>
    <t>gainsapp.com</t>
  </si>
  <si>
    <t>hello@gainsapp.com</t>
  </si>
  <si>
    <t>2026-05-26 12:39:20.231069+00</t>
  </si>
  <si>
    <t>jinshuwei</t>
  </si>
  <si>
    <t>jinshuwei-technology</t>
  </si>
  <si>
    <t>Jinshuwei</t>
  </si>
  <si>
    <t>Jinshuwei is a Chengdu-based startup building an intelligent data security governance platform.</t>
  </si>
  <si>
    <t>Sichuan, Gansu, China, Asia</t>
  </si>
  <si>
    <t>https://pitchbook.com/profiles/company/1392423-13</t>
  </si>
  <si>
    <t>2026-05-26 12:39:19.971223+00</t>
  </si>
  <si>
    <t>amity</t>
  </si>
  <si>
    <t>amity-78ac</t>
  </si>
  <si>
    <t>Amity</t>
  </si>
  <si>
    <t>Amity is a Thailand-founded enterprise AI software company that builds conversational AI systems and digital communication infrastructure for businesses.</t>
  </si>
  <si>
    <t>amity.co</t>
  </si>
  <si>
    <t>amity-global</t>
  </si>
  <si>
    <t>marketing@social.plus</t>
  </si>
  <si>
    <t>+44 (0)20 3846 3730</t>
  </si>
  <si>
    <t>2026-05-26 12:39:17.75343+00</t>
  </si>
  <si>
    <t>factory-x</t>
  </si>
  <si>
    <t>FACTORY X</t>
  </si>
  <si>
    <t>FACTORY X is a manufacturing startup that builds an inventory strategy model to help factories determine optimal stock levels.</t>
  </si>
  <si>
    <t>Okazaki, Aichi, Japan, Asia</t>
  </si>
  <si>
    <t>factory-x.com</t>
  </si>
  <si>
    <t>https://pitchbook.com/profiles/company/525516-13</t>
  </si>
  <si>
    <t>2026-05-26 12:39:14.520977+00</t>
  </si>
  <si>
    <t>bidian-technology</t>
  </si>
  <si>
    <t>BiDian Technology</t>
  </si>
  <si>
    <t>BiDian Technology is a full-stack provider of three-electric systems (battery systems, electronic control, and electric propulsion plus ship energy management) for new-energy ships.</t>
  </si>
  <si>
    <t>2026-05-26 12:39:14.117237+00</t>
  </si>
  <si>
    <t>dakar-pay</t>
  </si>
  <si>
    <t>Dakar Pay</t>
  </si>
  <si>
    <t>Dakar Pay is a Senegalese fintech and licensed electronic money institution providing mobile-money payments, microcredit, digital tontines, public-bill payments and USSD access.</t>
  </si>
  <si>
    <t>2026-04-30 20:00:40.334197+00</t>
  </si>
  <si>
    <t>2026-05-26 12:39:14.049755+00</t>
  </si>
  <si>
    <t>kavi-media</t>
  </si>
  <si>
    <t>Kavi Media</t>
  </si>
  <si>
    <t>Kavi Media is a U.S.-based startup building a dedicated Telugu-language audio entertainment platform offering podcasts, audiobooks and serialized audio stories.</t>
  </si>
  <si>
    <t>kavi.audio</t>
  </si>
  <si>
    <t>https://x.com/kavi_audio</t>
  </si>
  <si>
    <t>2026-05-26 12:39:13.978126+00</t>
  </si>
  <si>
    <t>patina</t>
  </si>
  <si>
    <t>patina-3a4b</t>
  </si>
  <si>
    <t>Patina</t>
  </si>
  <si>
    <t>Patina is a fragrance tech company that designs new scent molecules using advanced molecular design, machine learning, and scent research.</t>
  </si>
  <si>
    <t>Brooklyn, New York, United States, North America</t>
  </si>
  <si>
    <t>patina.earth</t>
  </si>
  <si>
    <t>patina-bio</t>
  </si>
  <si>
    <t>https://pitchbook.com/profiles/company/1364882-95</t>
  </si>
  <si>
    <t>2026-05-26 12:39:13.915184+00</t>
  </si>
  <si>
    <t>popdex</t>
  </si>
  <si>
    <t>PopDEX</t>
  </si>
  <si>
    <t>PopDEX is a decentralized perpetual contract trading platform focused on capital efficiency, trading experience, and value distribution.</t>
  </si>
  <si>
    <t>popdex.com</t>
  </si>
  <si>
    <t>2026-05-26 12:39:13.77367+00</t>
  </si>
  <si>
    <t>moov-2</t>
  </si>
  <si>
    <t>moov-d7bb</t>
  </si>
  <si>
    <t>Moov</t>
  </si>
  <si>
    <t>Moov is a mobility group developing a flexible mobility model.</t>
  </si>
  <si>
    <t>moovtr.com</t>
  </si>
  <si>
    <t>moovtr</t>
  </si>
  <si>
    <t>https://x.com/moovtr</t>
  </si>
  <si>
    <t>2026-05-26 12:39:13.248837+00</t>
  </si>
  <si>
    <t>euler-wanxiang</t>
  </si>
  <si>
    <t>Euler Wanxiang</t>
  </si>
  <si>
    <t>Euler Wanxiang is a newly founded household-focused embodied-intelligence robotics company developing a mobile chassis with two robot arms and a tool-chain aimed at makers and developers.</t>
  </si>
  <si>
    <t>2026-05-26 12:39:13.180657+00</t>
  </si>
  <si>
    <t>idsure</t>
  </si>
  <si>
    <t>IDsure</t>
  </si>
  <si>
    <t>IDsure is a digital identity and certificate infrastructure provider for the maritime industry.</t>
  </si>
  <si>
    <t>idsure.io</t>
  </si>
  <si>
    <t>https://pitchbook.com/profiles/company/707825-35</t>
  </si>
  <si>
    <t>2026-05-26 12:39:13.112621+00</t>
  </si>
  <si>
    <t>perp-dex</t>
  </si>
  <si>
    <t>Perp DEX</t>
  </si>
  <si>
    <t>Perp DEX is a decentralized perpetual contract trading platform.</t>
  </si>
  <si>
    <t>2026-05-26 12:39:12.714565+00</t>
  </si>
  <si>
    <t>ÂøÉÂºòÁîüÂëΩ</t>
  </si>
  <si>
    <t>xinhong-life</t>
  </si>
  <si>
    <t>Xinhong life</t>
  </si>
  <si>
    <t>ScieHome is a medical technology company developing ultrasound energy devices and drug‚Äìultrasound combination therapies for thrombus treatment.</t>
  </si>
  <si>
    <t>Shanghai, Shanghai, China, Asia</t>
  </si>
  <si>
    <t>2026-05-26 12:39:12.643833+00</t>
  </si>
  <si>
    <t>ellipse-bikes</t>
  </si>
  <si>
    <t>Ellipse Bikes</t>
  </si>
  <si>
    <t>Ellipse Bikes is a bicycle manufacturer that designs and manufactures everyday bikes and offers B2B leasing solutions for companies.</t>
  </si>
  <si>
    <t>ellipsebikes.com</t>
  </si>
  <si>
    <t>ellipsebikes</t>
  </si>
  <si>
    <t>https://pitchbook.com/profiles/company/560373-13</t>
  </si>
  <si>
    <t>2026-05-26 12:39:12.318226+00</t>
  </si>
  <si>
    <t>eqolux</t>
  </si>
  <si>
    <t>Eqolux</t>
  </si>
  <si>
    <t>Eqolux has pivoted from a sustainable-products marketplace to a platform that pilots costs and ESG (environmental, social, governance) performance for hotels and restaurants and is preparing a ‚Ç¨600k fundraising (part of a ‚Ç¨1M target) to accelerate growth in France and internationally.</t>
  </si>
  <si>
    <t>eqolux.com</t>
  </si>
  <si>
    <t>2026-05-26 12:39:12.248927+00</t>
  </si>
  <si>
    <t>scott-coker-mma-promotion</t>
  </si>
  <si>
    <t>Scott Coker MMA Promotion</t>
  </si>
  <si>
    <t>Scott Coker MMA Promotion is a new mixed martial arts promotion founded and led by veteran promoter Scott Coker organizing professional MMA events.</t>
  </si>
  <si>
    <t>2026-05-26 12:39:12.181599+00</t>
  </si>
  <si>
    <t>motions</t>
  </si>
  <si>
    <t>Motions</t>
  </si>
  <si>
    <t>Motions is an early-stage startup founded by Zakaria Drebi.</t>
  </si>
  <si>
    <t>motions.build</t>
  </si>
  <si>
    <t>motionsbuild</t>
  </si>
  <si>
    <t>2026-05-26 12:39:12.112324+00</t>
  </si>
  <si>
    <t>maso</t>
  </si>
  <si>
    <t>MASO</t>
  </si>
  <si>
    <t>MASO is a Tokyo-based company that provides MitteFlow, a camera and generative-AI powered image-analysis platform for integrating video-backed functionality into SaaS products.</t>
  </si>
  <si>
    <t>makeaisociety.com</t>
  </si>
  <si>
    <t>2026-05-26 12:39:12.041108+00</t>
  </si>
  <si>
    <t>campfield-therapeutics</t>
  </si>
  <si>
    <t>cAMPfield Therapeutics</t>
  </si>
  <si>
    <t>cAMPfield Therapeutics is a San Diego-based biotechnology company created to develop licensed, development-stage drug candidates and is associated with a potential PDE4 inhibitor asset, HPP737.</t>
  </si>
  <si>
    <t>campfieldtx.com</t>
  </si>
  <si>
    <t>2026-05-26 12:39:11.969827+00</t>
  </si>
  <si>
    <t>new-mma-league</t>
  </si>
  <si>
    <t>New MMA League</t>
  </si>
  <si>
    <t>New MMA League is a new fight promotion co-founded by Scott Coker and Peter Levin launching in 2027.</t>
  </si>
  <si>
    <t>2026-05-26 12:39:11.897896+00</t>
  </si>
  <si>
    <t>count-1</t>
  </si>
  <si>
    <t>Count</t>
  </si>
  <si>
    <t>Count is a London-based fintech that provides a financial-adviser platform founded by Laura Cornely.</t>
  </si>
  <si>
    <t>count-finance.com</t>
  </si>
  <si>
    <t>count-finance</t>
  </si>
  <si>
    <t>https://pitchbook.com/profiles/company/601959-70</t>
  </si>
  <si>
    <t>2026-05-26 12:39:11.751143+00</t>
  </si>
  <si>
    <t>latconnect-60</t>
  </si>
  <si>
    <t>LatConnect 60</t>
  </si>
  <si>
    <t>LatConnect 60 is developing a short-wave infrared (SWIR) satellite constellation and AI analytics platform, raising $5‚Äì$20M to deploy initial high-resolution SWIR microsatellites for defense, agriculture, climate and emissions monitoring.</t>
  </si>
  <si>
    <t>Perth, Western Australia, Australia, Oceania</t>
  </si>
  <si>
    <t>lc60.ai</t>
  </si>
  <si>
    <t>lc60-ai</t>
  </si>
  <si>
    <t>https://pitchbook.com/profiles/company/437250-88</t>
  </si>
  <si>
    <t>2026-05-26 12:39:11.485428+00</t>
  </si>
  <si>
    <t>jupid</t>
  </si>
  <si>
    <t>Jupid</t>
  </si>
  <si>
    <t>Jupid is a startup building AI accountants to serve small businesses.</t>
  </si>
  <si>
    <t>jupid.com</t>
  </si>
  <si>
    <t>https://pitchbook.com/profiles/company/749257-84</t>
  </si>
  <si>
    <t>2026-05-26 12:39:11.411044+00</t>
  </si>
  <si>
    <t>urologic-health</t>
  </si>
  <si>
    <t>Urologic Health</t>
  </si>
  <si>
    <t>Urologic Health is a medical device company developing non-invasive diagnostic technology for bladder function assessment.</t>
  </si>
  <si>
    <t>Or Yehuda, Tel Aviv, Israel, Asia</t>
  </si>
  <si>
    <t>urologic.health</t>
  </si>
  <si>
    <t>adamy@urologic.health</t>
  </si>
  <si>
    <t>2026-05-26 12:39:10.949701+00</t>
  </si>
  <si>
    <t>qurie</t>
  </si>
  <si>
    <t>Qurie</t>
  </si>
  <si>
    <t>Qurie is a Freiburg‚Äëbased startup developing electrocaloric refrigeration systems that operate without compressors or refrigerants.</t>
  </si>
  <si>
    <t>qurie.de</t>
  </si>
  <si>
    <t>qurie-gmbh</t>
  </si>
  <si>
    <t>2026-05-26 12:12:40.085088+00</t>
  </si>
  <si>
    <t>owners-id</t>
  </si>
  <si>
    <t>Owners ID</t>
  </si>
  <si>
    <t>Owners ID is a recovery-tech company that builds a digital identity layer for physical belongings using privacy-first QR technology to enable lost items to be returned without exposing owners' personal information.</t>
  </si>
  <si>
    <t>ownersid.com</t>
  </si>
  <si>
    <t>owners-id-pvt-ltd</t>
  </si>
  <si>
    <t>2026-05-26 12:12:40.081506+00</t>
  </si>
  <si>
    <t>onestruction</t>
  </si>
  <si>
    <t>Onestruction</t>
  </si>
  <si>
    <t>ONESTRUCTION is a construction technology company developing openBIM-centered software and AI solutions such as OpenAEC, Ishigaki, and the upcoming Contex.</t>
  </si>
  <si>
    <t>Tottori, Tottori, Japan, Asia</t>
  </si>
  <si>
    <t>onestruction.com</t>
  </si>
  <si>
    <t>https://pitchbook.com/profiles/company/595904-23</t>
  </si>
  <si>
    <t>https://x.com/onestruction</t>
  </si>
  <si>
    <t>info@onestruction.com</t>
  </si>
  <si>
    <t>+81 50-1809-1266</t>
  </si>
  <si>
    <t>2026-05-26 12:12:40.072639+00</t>
  </si>
  <si>
    <t>cashin</t>
  </si>
  <si>
    <t>CASHIN</t>
  </si>
  <si>
    <t>CASHIN provides an AI-enabled unified platform that connects and manages the financial and operational processes of fuel stations.</t>
  </si>
  <si>
    <t>Riyadh, Ar Riyad, Saudi Arabia, Asia</t>
  </si>
  <si>
    <t>cashin.sa</t>
  </si>
  <si>
    <t>cashinsa</t>
  </si>
  <si>
    <t>https://pitchbook.com/profiles/company/472356-01</t>
  </si>
  <si>
    <t>https://x.com/cashin_sa</t>
  </si>
  <si>
    <t>2026-05-26 11:33:54.550662+00</t>
  </si>
  <si>
    <t>totalis</t>
  </si>
  <si>
    <t>totalis-52aa</t>
  </si>
  <si>
    <t>Totalis</t>
  </si>
  <si>
    <t>Totalis is a prediction market derivatives layer that enables composite bets across categories, markets, and venues.</t>
  </si>
  <si>
    <t>totalis.trade</t>
  </si>
  <si>
    <t>totalistrading</t>
  </si>
  <si>
    <t>https://pitchbook.com/profiles/company/1368084-79</t>
  </si>
  <si>
    <t>2026-04-14 12:00:41.445239+00</t>
  </si>
  <si>
    <t>2026-05-26 11:33:54.549827+00</t>
  </si>
  <si>
    <t>aimirim</t>
  </si>
  <si>
    <t>Aimirim</t>
  </si>
  <si>
    <t>Aimirim is a deeptech industrial digitalization company that applies predictive control, IoT and AI through its Tupana platform to optimize factory operations.</t>
  </si>
  <si>
    <t>Uberl√¢ndia, Minas Gerais, Brazil, South America</t>
  </si>
  <si>
    <t>aimirimsti.com.br</t>
  </si>
  <si>
    <t>aimirim-br</t>
  </si>
  <si>
    <t>https://pitchbook.com/profiles/company/553481-65</t>
  </si>
  <si>
    <t>https://x.com/aimirim_sti</t>
  </si>
  <si>
    <t>contato@aimirimsti.com.br</t>
  </si>
  <si>
    <t>+55 (34) 3083-7739</t>
  </si>
  <si>
    <t>2026-05-14 13:00:37.31626+00</t>
  </si>
  <si>
    <t>2026-05-26 11:33:54.537583+00</t>
  </si>
  <si>
    <t>squid</t>
  </si>
  <si>
    <t>squid-7b4f</t>
  </si>
  <si>
    <t>Squid</t>
  </si>
  <si>
    <t>Squid is a Zug, Switzerland-based provider of a cross-chain platform that connects networks, liquidity sources and applications to enable digital asset activity across crypto.</t>
  </si>
  <si>
    <t>Zug, Zug, Switzerland, Europe</t>
  </si>
  <si>
    <t>squidrouter.com</t>
  </si>
  <si>
    <t>squidrouter</t>
  </si>
  <si>
    <t>https://pitchbook.com/profiles/company/506872-00</t>
  </si>
  <si>
    <t>https://twitter.com/squidrouter</t>
  </si>
  <si>
    <t>2026-05-26 11:33:54.530576+00</t>
  </si>
  <si>
    <t>pettichat</t>
  </si>
  <si>
    <t>PettiChat</t>
  </si>
  <si>
    <t>PettiChat is a pet AI technology startup building an animal behavior world model and an AI-driven pet wearable translator.</t>
  </si>
  <si>
    <t>pettichat.com</t>
  </si>
  <si>
    <t>https://pitchbook.com/profiles/company/1360857-25</t>
  </si>
  <si>
    <t>pettichatofficial@gmail.com</t>
  </si>
  <si>
    <t>+86 571-87671305</t>
  </si>
  <si>
    <t>2026-04-21 12:00:36.50505+00</t>
  </si>
  <si>
    <t>2026-05-26 11:33:54.529209+00</t>
  </si>
  <si>
    <t>jet-hr</t>
  </si>
  <si>
    <t>Jet HR</t>
  </si>
  <si>
    <t>Jet HR is a Milan-based cloud HR platform that automates payroll, contracts, expense reports, leave tracking, contractor payments, compliance tasks, employee records and mobile self-service for SMEs.</t>
  </si>
  <si>
    <t>jethr.com</t>
  </si>
  <si>
    <t>jethr</t>
  </si>
  <si>
    <t>https://pitchbook.com/profiles/company/521668-72</t>
  </si>
  <si>
    <t>https://twitter.com/jet_hr_italy</t>
  </si>
  <si>
    <t>admin@jethr.com</t>
  </si>
  <si>
    <t>2026-05-26 11:33:54.525339+00</t>
  </si>
  <si>
    <t>nvision-quantum</t>
  </si>
  <si>
    <t>NVision Quantum</t>
  </si>
  <si>
    <t>NVision Quantum is a quantentechnology company developing quantum-enhanced imaging and quantum-computing platforms for biomedical applications.</t>
  </si>
  <si>
    <t>nvision-quantum.com</t>
  </si>
  <si>
    <t>nvision-quantum-technologies</t>
  </si>
  <si>
    <t>2026-05-26 11:33:54.522415+00</t>
  </si>
  <si>
    <t>hint-1</t>
  </si>
  <si>
    <t>Hint</t>
  </si>
  <si>
    <t>Hint is a home management platform that combines human expertise and AI to provide personalized, proactive guidance to homeowners.</t>
  </si>
  <si>
    <t>hinthome.com</t>
  </si>
  <si>
    <t>hint-home-intelligence</t>
  </si>
  <si>
    <t>https://pitchbook.com/profiles/company/1162797-49</t>
  </si>
  <si>
    <t>2026-05-13 13:00:35.586112+00</t>
  </si>
  <si>
    <t>2026-05-26 11:33:54.522207+00</t>
  </si>
  <si>
    <t>recursive</t>
  </si>
  <si>
    <t>recursive-cedf</t>
  </si>
  <si>
    <t>Recursive</t>
  </si>
  <si>
    <t>Recursive is an AI-native company building self-improving systems through open-ended discovery.</t>
  </si>
  <si>
    <t>recursive.ac</t>
  </si>
  <si>
    <t>ai-recursive-labs</t>
  </si>
  <si>
    <t>https://pitchbook.com/profiles/company/498224-89</t>
  </si>
  <si>
    <t>https://x.com/recursiveai</t>
  </si>
  <si>
    <t>privacy@recursiveai.co.jp</t>
  </si>
  <si>
    <t>2026-01-26 13:30:27.674964+00</t>
  </si>
  <si>
    <t>2026-05-26 11:27:36.665621+00</t>
  </si>
  <si>
    <t>casimir</t>
  </si>
  <si>
    <t>Casimir</t>
  </si>
  <si>
    <t>Casimir is a startup developing the MicroSparc quantum vacuum energy chip that harvests energy from quantum vacuum fields.</t>
  </si>
  <si>
    <t>casimir.inc</t>
  </si>
  <si>
    <t>casimirinc</t>
  </si>
  <si>
    <t>https://pitchbook.com/profiles/company/600659-38</t>
  </si>
  <si>
    <t>https://x.com/casimirinc</t>
  </si>
  <si>
    <t>2026-05-26 10:42:46.908914+00</t>
  </si>
  <si>
    <t>draiven</t>
  </si>
  <si>
    <t>Draiven</t>
  </si>
  <si>
    <t>Draiven is an enterprise AI company that converts corporate data into real-time decision intelligence using generative AI and multi-agent analytics.</t>
  </si>
  <si>
    <t>S√£o Carlos Do Pinhal, Sao Paulo, Brazil, South America</t>
  </si>
  <si>
    <t>draiven.io</t>
  </si>
  <si>
    <t>https://pitchbook.com/profiles/company/1153561-78</t>
  </si>
  <si>
    <t>contact@draiven.io</t>
  </si>
  <si>
    <t>2026-05-21 08:00:33.075209+00</t>
  </si>
  <si>
    <t>2026-05-26 09:11:23.429832+00</t>
  </si>
  <si>
    <t>status-ai</t>
  </si>
  <si>
    <t>Status AI</t>
  </si>
  <si>
    <t>Status AI is a gamified social media app that lets users craft personas and play characters inside user-generated interactive worlds.</t>
  </si>
  <si>
    <t>statusai.com</t>
  </si>
  <si>
    <t>statusai</t>
  </si>
  <si>
    <t>https://pitchbook.com/profiles/company/877276-90</t>
  </si>
  <si>
    <t>2026-05-26 08:48:21.311389+00</t>
  </si>
  <si>
    <t>shizen-energy</t>
  </si>
  <si>
    <t>shizen-energy-inc-</t>
  </si>
  <si>
    <t>Shizen Energy</t>
  </si>
  <si>
    <t>Shizen Connect is a developer and operator of a virtual power plant (VPP) energy management platform that integrates and controls distributed energy assets via IoT and AI.</t>
  </si>
  <si>
    <t>Fukuoka, Fukuoka, Japan, Asia</t>
  </si>
  <si>
    <t>shizenenergy.net</t>
  </si>
  <si>
    <t>https://pitchbook.com/profiles/company/711253-27</t>
  </si>
  <si>
    <t>https://x.com/shizen_recruit?lang=en</t>
  </si>
  <si>
    <t>infomail@shizenenergy.net</t>
  </si>
  <si>
    <t>+81 3-3868-3391</t>
  </si>
  <si>
    <t>2026-05-26 08:31:13.402218+00</t>
  </si>
  <si>
    <t>hep-global</t>
  </si>
  <si>
    <t>hep global</t>
  </si>
  <si>
    <t>hep global is a German solar developer expanding its renewable energy project portfolio and operations in North America.</t>
  </si>
  <si>
    <t>G√ºglingen, Baden-Wurttemberg, Germany, Europe</t>
  </si>
  <si>
    <t>hepsolar.com</t>
  </si>
  <si>
    <t>hepsolar</t>
  </si>
  <si>
    <t>https://pitchbook.com/profiles/company/434069-11</t>
  </si>
  <si>
    <t>info@hep.global</t>
  </si>
  <si>
    <t>+49 7135 934460</t>
  </si>
  <si>
    <t>2026-05-26 07:52:56.880223+00</t>
  </si>
  <si>
    <t>blockchainwork</t>
  </si>
  <si>
    <t>BlockchainWork</t>
  </si>
  <si>
    <t>BlockchainWork is a Vietnamese blockchain and Web3 talent community and hiring platform connecting candidates and employers.</t>
  </si>
  <si>
    <t>blockchainwork.net</t>
  </si>
  <si>
    <t>blockchainwork-official</t>
  </si>
  <si>
    <t>https://pitchbook.com/profiles/company/718532-56</t>
  </si>
  <si>
    <t>https://x.com/BlockchainWork_</t>
  </si>
  <si>
    <t>contact@blockchainwork.net</t>
  </si>
  <si>
    <t>2026-05-26 07:26:34.225634+00</t>
  </si>
  <si>
    <t>legalplace</t>
  </si>
  <si>
    <t>LegalPlace</t>
  </si>
  <si>
    <t>LegalPlace is a French company that helps entrepreneurs create and manage their businesses.</t>
  </si>
  <si>
    <t>legalplace.fr</t>
  </si>
  <si>
    <t>https://pitchbook.com/profiles/company/186558-31</t>
  </si>
  <si>
    <t>https://x.com/legalplace</t>
  </si>
  <si>
    <t>01 76 35 02 40</t>
  </si>
  <si>
    <t>2026-05-05 23:03:21.279027+00</t>
  </si>
  <si>
    <t>2026-05-26 07:24:07.113806+00</t>
  </si>
  <si>
    <t>2u2-ai</t>
  </si>
  <si>
    <t>2U2.ai</t>
  </si>
  <si>
    <t>2U2.ai is a Web3-native startup building an AI-powered MemeLayer to generate, distribute, and remix meme content.</t>
  </si>
  <si>
    <t>2u2.ai</t>
  </si>
  <si>
    <t>2u2ai</t>
  </si>
  <si>
    <t>https://pitchbook.com/profiles/company/1367238-16</t>
  </si>
  <si>
    <t>https://x.com/2u2ai</t>
  </si>
  <si>
    <t>2026-05-26 07:16:42.459524+00</t>
  </si>
  <si>
    <t>lilz</t>
  </si>
  <si>
    <t>LiLz</t>
  </si>
  <si>
    <t>LiLz is a company that provides fully wireless IoT cameras and an AI-powered remote inspection and image-analysis platform for industrial sites.</t>
  </si>
  <si>
    <t>Ginowan, Okinawa, Japan, Asia</t>
  </si>
  <si>
    <t>lilz.jp</t>
  </si>
  <si>
    <t>lilz-inc</t>
  </si>
  <si>
    <t>https://pitchbook.com/profiles/company/455057-65</t>
  </si>
  <si>
    <t>https://www.twitter.com/LiLz_inc</t>
  </si>
  <si>
    <t>contact@lilz.jp</t>
  </si>
  <si>
    <t>2026-05-26 07:08:58.692853+00</t>
  </si>
  <si>
    <t>above-security</t>
  </si>
  <si>
    <t>above-security-6928</t>
  </si>
  <si>
    <t>Above Security</t>
  </si>
  <si>
    <t>Above Security is an AI-native insider risk platform that uses specialized AI investigators and an Arbiter engine to detect and investigate insider threats among human users and AI agents.</t>
  </si>
  <si>
    <t>abovesec.com</t>
  </si>
  <si>
    <t>abovesec</t>
  </si>
  <si>
    <t>https://pitchbook.com/profiles/company/1167889-69</t>
  </si>
  <si>
    <t>privacy@abovesec.com</t>
  </si>
  <si>
    <t>2026-03-23 13:00:35.752118+00</t>
  </si>
  <si>
    <t>2026-05-26 07:03:43.594771+00</t>
  </si>
  <si>
    <t>mekr</t>
  </si>
  <si>
    <t>Mekr</t>
  </si>
  <si>
    <t>Mekr is a full‚Äëstack design and manufacturing platform that provides end-to-end product design, prototyping, tooling, certification, and mass manufacturing services for consumer appliance brands.</t>
  </si>
  <si>
    <t>mekr.in</t>
  </si>
  <si>
    <t>https://pitchbook.com/profiles/company/493623-01</t>
  </si>
  <si>
    <t>2026-05-26 06:15:10.621351+00</t>
  </si>
  <si>
    <t>steno</t>
  </si>
  <si>
    <t>Steno</t>
  </si>
  <si>
    <t>Steno is a tech-enabled court reporting and litigation support services company.</t>
  </si>
  <si>
    <t>steno.com</t>
  </si>
  <si>
    <t>steno-inc</t>
  </si>
  <si>
    <t>https://pitchbook.com/profiles/company/437292-82</t>
  </si>
  <si>
    <t>https://x.com/steno_reporters</t>
  </si>
  <si>
    <t>concierge@steno.com</t>
  </si>
  <si>
    <t>888.707.8366</t>
  </si>
  <si>
    <t>2026-05-25 23:27:53.603351+00</t>
  </si>
  <si>
    <t>sigma-computing</t>
  </si>
  <si>
    <t>Sigma Computing</t>
  </si>
  <si>
    <t>Sigma is an AI apps and agentic analytics platform that enables business and technical teams to explore live cloud data, build applications, and automate workflows in a governed workspace.</t>
  </si>
  <si>
    <t>sigmacomputing.com</t>
  </si>
  <si>
    <t>sigmacomputing</t>
  </si>
  <si>
    <t>https://pitchbook.com/profiles/company/62621-92</t>
  </si>
  <si>
    <t>http://twitter.com/sigmacomputing</t>
  </si>
  <si>
    <t>orla@sigmacomputing.com</t>
  </si>
  <si>
    <t>2026-05-25 23:27:53.601382+00</t>
  </si>
  <si>
    <t>ripjar</t>
  </si>
  <si>
    <t>Ripjar</t>
  </si>
  <si>
    <t>Ripjar is an explainable-AI powered anti-money laundering and financial crime screening platform.</t>
  </si>
  <si>
    <t>Cheltenham, Gloucestershire, United Kingdom, Europe</t>
  </si>
  <si>
    <t>ripjar.com</t>
  </si>
  <si>
    <t>https://pitchbook.com/profiles/company/106888-87</t>
  </si>
  <si>
    <t>https://x.com/ripjar</t>
  </si>
  <si>
    <t>sales@ripjar.com</t>
  </si>
  <si>
    <t>2026-05-25 23:27:53.600184+00</t>
  </si>
  <si>
    <t>startale-labs</t>
  </si>
  <si>
    <t>Startale Labs</t>
  </si>
  <si>
    <t>Startale Group is a Singapore-based blockchain company that builds tools for financial firms and retail users, including a blockchain for tokenized securities, stablecoins, and a consumer app.</t>
  </si>
  <si>
    <t>startale.com</t>
  </si>
  <si>
    <t>startalelabs</t>
  </si>
  <si>
    <t>https://pitchbook.com/profiles/company/530130-52</t>
  </si>
  <si>
    <t>https://x.com/StartaleGroup</t>
  </si>
  <si>
    <t>2026-05-25 23:27:53.599939+00</t>
  </si>
  <si>
    <t>letinar</t>
  </si>
  <si>
    <t>letinar-co-ltd</t>
  </si>
  <si>
    <t>LetinAR</t>
  </si>
  <si>
    <t>LetinAR is a South Korean startup that designs and manufactures compact optical modules (PinTILT) for AI-enabled smart glasses.</t>
  </si>
  <si>
    <t>Dongan, Kyonggi-do, South Korea, Asia</t>
  </si>
  <si>
    <t>letinar.com</t>
  </si>
  <si>
    <t>https://pitchbook.com/profiles/company/185132-17</t>
  </si>
  <si>
    <t>https://x.com/we_are_letinars</t>
  </si>
  <si>
    <t>info@letinar.com</t>
  </si>
  <si>
    <t>+82 2-6959-7007</t>
  </si>
  <si>
    <t>2026-05-25 23:27:53.599236+00</t>
  </si>
  <si>
    <t>viktor-1</t>
  </si>
  <si>
    <t>Viktor</t>
  </si>
  <si>
    <t>Viktor is an AI coworker service that lives in Slack and connects to workplace tools to perform operational work.</t>
  </si>
  <si>
    <t>viktor.com</t>
  </si>
  <si>
    <t>getviktor</t>
  </si>
  <si>
    <t>2026-05-25 23:27:53.590304+00</t>
  </si>
  <si>
    <t>burnbot</t>
  </si>
  <si>
    <t>BurnBot</t>
  </si>
  <si>
    <t>BurnBot is a wildfire mitigation technology company that develops and operates robotic, data-driven systems for hazardous fuels reduction and vegetation management.</t>
  </si>
  <si>
    <t>burnbot.com</t>
  </si>
  <si>
    <t>burnbot-inc</t>
  </si>
  <si>
    <t>https://pitchbook.com/profiles/company/517348-36</t>
  </si>
  <si>
    <t>https://x.com/burnbotrxtech</t>
  </si>
  <si>
    <t>2026-05-25 23:27:53.588249+00</t>
  </si>
  <si>
    <t>benji</t>
  </si>
  <si>
    <t>benji-1432</t>
  </si>
  <si>
    <t>Benji</t>
  </si>
  <si>
    <t>Benji is the universal API for loyalty partnerships that enables brands to connect loyalty programs through a single integration.</t>
  </si>
  <si>
    <t>withbenji.com</t>
  </si>
  <si>
    <t>withbenji</t>
  </si>
  <si>
    <t>support@withbenji.com</t>
  </si>
  <si>
    <t>2026-05-25 23:27:53.584798+00</t>
  </si>
  <si>
    <t>pepeto</t>
  </si>
  <si>
    <t>Pepeto</t>
  </si>
  <si>
    <t>Pepeto is a crypto project building exchange infrastructure including PepetoSwap, a cross-chain bridge, and a full trading exchange, led by members of the PEPE founding team.</t>
  </si>
  <si>
    <t>pepeto.io</t>
  </si>
  <si>
    <t>https://x.com/Pepetocoin</t>
  </si>
  <si>
    <t>2025-07-20 05:40:46.301766+00</t>
  </si>
  <si>
    <t>2026-05-25 23:27:53.583461+00</t>
  </si>
  <si>
    <t>reflexivity-1</t>
  </si>
  <si>
    <t>toggle-f75d</t>
  </si>
  <si>
    <t>Reflexivity</t>
  </si>
  <si>
    <t>Reflexivity provides AI-powered market analytics and decision tools for investment professionals via a chat interface, with Knowledge Graph, reasoning assistants, 40,000+ asset screener, scenario analysis, charting, document search.</t>
  </si>
  <si>
    <t>reflexivity.com</t>
  </si>
  <si>
    <t>reflexivityai</t>
  </si>
  <si>
    <t>https://pitchbook.com/profiles/company/470703-61</t>
  </si>
  <si>
    <t>https://twitter.com/ToggleGlobal</t>
  </si>
  <si>
    <t>sales@toggle.ai</t>
  </si>
  <si>
    <t>+1 (646) 781-8808</t>
  </si>
  <si>
    <t>2026-05-25 23:27:53.582048+00</t>
  </si>
  <si>
    <t>ibase-t</t>
  </si>
  <si>
    <t>ibaset</t>
  </si>
  <si>
    <t>iBase-t</t>
  </si>
  <si>
    <t>iBase-t is a provider of Manufacturing Operations Management software for aerospace and defense manufacturers.</t>
  </si>
  <si>
    <t>Foothill Ranch, California, United States, North America</t>
  </si>
  <si>
    <t>ibaset.com</t>
  </si>
  <si>
    <t>https://x.com/iBASEt_global</t>
  </si>
  <si>
    <t>support@ibaset.com</t>
  </si>
  <si>
    <t>+1 9495982600</t>
  </si>
  <si>
    <t>2026-03-31 19:00:37.234392+00</t>
  </si>
  <si>
    <t>2026-05-25 23:27:53.580475+00</t>
  </si>
  <si>
    <t>signalplus</t>
  </si>
  <si>
    <t>SignalPlus</t>
  </si>
  <si>
    <t>SignalPlus is a crypto asset derivatives trading service platform providing institutional-grade infrastructure for options trading, automated market-making, and structured product solutions.</t>
  </si>
  <si>
    <t>Central and Western, Hong Kong Island, Hong Kong, Asia</t>
  </si>
  <si>
    <t>signalplus.com</t>
  </si>
  <si>
    <t>signalplushk</t>
  </si>
  <si>
    <t>https://pitchbook.com/profiles/company/503503-66</t>
  </si>
  <si>
    <t>https://www.twitter.com/SignalPlus_Web3</t>
  </si>
  <si>
    <t>2026-05-25 23:27:53.579615+00</t>
  </si>
  <si>
    <t>aboard</t>
  </si>
  <si>
    <t>Aboard</t>
  </si>
  <si>
    <t>Aboard is a Southern California company building integrated extended-range electric travel trailers and products for modern mobile living.</t>
  </si>
  <si>
    <t>aboardrv.com</t>
  </si>
  <si>
    <t>aboardrv</t>
  </si>
  <si>
    <t>2026-05-21 20:00:52.888818+00</t>
  </si>
  <si>
    <t>2026-05-25 23:27:53.579423+00</t>
  </si>
  <si>
    <t>esim-go</t>
  </si>
  <si>
    <t>eSIM Go</t>
  </si>
  <si>
    <t>eSIM Go is a digital mobile services company providing B2B travel eSIM solutions and MVNO enablement.</t>
  </si>
  <si>
    <t>Banbury, Oxfordshire, United Kingdom, Europe</t>
  </si>
  <si>
    <t>esimgo.com</t>
  </si>
  <si>
    <t>info@esim-go.com</t>
  </si>
  <si>
    <t>2026-05-25 23:27:53.578928+00</t>
  </si>
  <si>
    <t>ÊûÅÂ£≥ÁßëÊäÄ</t>
  </si>
  <si>
    <t>extreme-shell-technology</t>
  </si>
  <si>
    <t xml:space="preserve">Hypershell </t>
  </si>
  <si>
    <t>Hypershell is a consumer-grade exoskeleton company that designs, manufactures, and sells lightweight wearable exoskeletons for everyday users.</t>
  </si>
  <si>
    <t>hypershell.cc</t>
  </si>
  <si>
    <t>hypershell-tech</t>
  </si>
  <si>
    <t>https://pitchbook.com/profiles/company/527321-80</t>
  </si>
  <si>
    <t>2026-05-25 23:27:53.577773+00</t>
  </si>
  <si>
    <t>tympahealth</t>
  </si>
  <si>
    <t>TympaHealth</t>
  </si>
  <si>
    <t>TympaHealth is a healthtech startup developing Tympa Assist, an AI-guided platform for ear and hearing care in community settings.</t>
  </si>
  <si>
    <t>tympahealth.com</t>
  </si>
  <si>
    <t>tympahealth-technologies-ltd</t>
  </si>
  <si>
    <t>https://pitchbook.com/profiles/company/433581-76</t>
  </si>
  <si>
    <t>https://twitter.com/tympahealth</t>
  </si>
  <si>
    <t>marketing@tympahealth.com</t>
  </si>
  <si>
    <t>020 7886 8810</t>
  </si>
  <si>
    <t>2026-05-25 23:27:53.577228+00</t>
  </si>
  <si>
    <t>piceoring</t>
  </si>
  <si>
    <t>featuring-corp</t>
  </si>
  <si>
    <t>ÌîºÏ≤òÎßÅ</t>
  </si>
  <si>
    <t>Featuring (ÌîºÏ≤òÎßÅ) is a social media data analytics company that provides influencer marketing solutions and an enterprise social data analysis platform powered by its proprietary Featuring AI engine.</t>
  </si>
  <si>
    <t>contact@featuring.in</t>
  </si>
  <si>
    <t>+82 070-4794-3043</t>
  </si>
  <si>
    <t>2026-05-25 23:27:53.57655+00</t>
  </si>
  <si>
    <t>secondz-digital</t>
  </si>
  <si>
    <t>secondz digital</t>
  </si>
  <si>
    <t>secondz digital is a Japanese startup that develops AI agents to automate enterprise customer engagement and front-end sales activities.</t>
  </si>
  <si>
    <t>Yokohama, Kanagawa, Japan, Asia</t>
  </si>
  <si>
    <t>secondz.digital</t>
  </si>
  <si>
    <t>https://pitchbook.com/profiles/company/530702-92</t>
  </si>
  <si>
    <t>2026-05-25 23:27:53.576099+00</t>
  </si>
  <si>
    <t>ocean-2</t>
  </si>
  <si>
    <t>Ocean</t>
  </si>
  <si>
    <t>Ocean is an agentic email security platform designed to detect AI-powered phishing, fraud and impersonation in email.</t>
  </si>
  <si>
    <t>ocean.security</t>
  </si>
  <si>
    <t>2026-05-19 20:00:35.066105+00</t>
  </si>
  <si>
    <t>2026-05-25 23:27:53.575718+00</t>
  </si>
  <si>
    <t>dehaze</t>
  </si>
  <si>
    <t>dehaze is a Munich-based healthtech AI company that uses causal AI to analyze patient data to detect individuals at risk of chronic disease.</t>
  </si>
  <si>
    <t>dehaze.de</t>
  </si>
  <si>
    <t>dehazeai</t>
  </si>
  <si>
    <t>https://pitchbook.com/profiles/company/544889-98</t>
  </si>
  <si>
    <t>info@dehaze.de</t>
  </si>
  <si>
    <t>2026-04-28 12:00:44.662948+00</t>
  </si>
  <si>
    <t>2026-05-25 23:27:53.575539+00</t>
  </si>
  <si>
    <t>quartermaster</t>
  </si>
  <si>
    <t>quartermaster-ai</t>
  </si>
  <si>
    <t>Quartermaster</t>
  </si>
  <si>
    <t>Quartermaster is a maritime sensing startup that builds SmartMast, a mast-mounted package of weather-hardened sensors and an analytics platform for continuous distributed maritime monitoring.</t>
  </si>
  <si>
    <t>quartermaster.us</t>
  </si>
  <si>
    <t>quartermasterai</t>
  </si>
  <si>
    <t>https://pitchbook.com/profiles/company/1360643-50</t>
  </si>
  <si>
    <t>contact@quartermaster.us</t>
  </si>
  <si>
    <t>2026-05-25 23:27:53.575289+00</t>
  </si>
  <si>
    <t>hacktron</t>
  </si>
  <si>
    <t>hacktron-ai</t>
  </si>
  <si>
    <t>Hacktron</t>
  </si>
  <si>
    <t>Hacktron is an AI-powered cybersecurity company that continuously tests software for vulnerabilities on every code change.</t>
  </si>
  <si>
    <t>hacktron.ai</t>
  </si>
  <si>
    <t>https://pitchbook.com/profiles/company/902465-38</t>
  </si>
  <si>
    <t>https://x.com/HacktronAI</t>
  </si>
  <si>
    <t>hello@hacktron.ai</t>
  </si>
  <si>
    <t>2026-05-13 16:00:48.279515+00</t>
  </si>
  <si>
    <t>2026-05-25 23:27:53.57501+00</t>
  </si>
  <si>
    <t>checkmate-3</t>
  </si>
  <si>
    <t>checkmate-savings-inc</t>
  </si>
  <si>
    <t>Checkmate</t>
  </si>
  <si>
    <t>Checkmate is a shopping assistant app on iPhone, Safari and desktop that aggregates inbox promo codes, auto-applies discounts at checkout, and provides order tracking via affiliate partnerships.</t>
  </si>
  <si>
    <t>joincheckmate.com</t>
  </si>
  <si>
    <t>checkmate-savings</t>
  </si>
  <si>
    <t>https://twitter.com/CheckmateSaves</t>
  </si>
  <si>
    <t>support@joincheckmate.com</t>
  </si>
  <si>
    <t>2026-05-25 23:27:53.574028+00</t>
  </si>
  <si>
    <t>pit</t>
  </si>
  <si>
    <t>Pit</t>
  </si>
  <si>
    <t>Pit is a Stockholm-based enterprise AI startup positioning itself as an ‚ÄúAI product team as a service‚Äù that builds custom AI-driven software to automate internal business processes.</t>
  </si>
  <si>
    <t>pit.com</t>
  </si>
  <si>
    <t>pitdotcom</t>
  </si>
  <si>
    <t>2026-05-07 12:00:38.28078+00</t>
  </si>
  <si>
    <t>2026-05-25 23:27:53.572242+00</t>
  </si>
  <si>
    <t>gabit</t>
  </si>
  <si>
    <t>gabit-ef43</t>
  </si>
  <si>
    <t>Gabit</t>
  </si>
  <si>
    <t>Gabit is an Indian wearable healthtech startup that sells smart wearables (including a titanium smart ring) alongside AI-powered coaching, personalised nutrition supplements, and skincare products.</t>
  </si>
  <si>
    <t>gabit.com</t>
  </si>
  <si>
    <t>gabitlife</t>
  </si>
  <si>
    <t>https://pitchbook.com/profiles/company/552926-35</t>
  </si>
  <si>
    <t>2026-05-25 23:27:53.5713+00</t>
  </si>
  <si>
    <t>artrami</t>
  </si>
  <si>
    <t>ARTRAMI</t>
  </si>
  <si>
    <t>Artrami is the operator of tounou, an art intellectual-property-based commerce platform that connects artists' IP to product manufacturing and sales using AI.</t>
  </si>
  <si>
    <t>2025-10-24 22:30:30.054808+00</t>
  </si>
  <si>
    <t>2026-05-25 22:38:06.272373+00</t>
  </si>
  <si>
    <t>nord-quantique</t>
  </si>
  <si>
    <t>Nord Quantique</t>
  </si>
  <si>
    <t>Nord Quantique is a developer of quantum error correction and bosonic quantum computing architectures.</t>
  </si>
  <si>
    <t>Sherbrooke, Quebec, Canada, North America</t>
  </si>
  <si>
    <t>nordquantique.ca</t>
  </si>
  <si>
    <t>https://pitchbook.com/profiles/company/466604-11</t>
  </si>
  <si>
    <t>2026-05-25 22:36:15.943658+00</t>
  </si>
  <si>
    <t>miner</t>
  </si>
  <si>
    <t>Andrada Mining</t>
  </si>
  <si>
    <t>Andrada Mining is a tin producer that has conditionally raised approximately ¬£8 million ($11 million) through a share sale to boost its ambitions to expand its programs in southwest Africa amid strong commodity markets.</t>
  </si>
  <si>
    <t>andradamining.com</t>
  </si>
  <si>
    <t>andrada-mining</t>
  </si>
  <si>
    <t>https://pitchbook.com/profiles/company/222275-08</t>
  </si>
  <si>
    <t>2026-04-20 23:03:34.514377+00</t>
  </si>
  <si>
    <t>2026-05-25 22:35:05.188289+00</t>
  </si>
  <si>
    <t>oshi</t>
  </si>
  <si>
    <t>plantish-64db</t>
  </si>
  <si>
    <t>Oshi</t>
  </si>
  <si>
    <t>Oshi is a plant-based seafood startup developing whole-cut plant-based fish fillets (including salmon and a new whitefish line).</t>
  </si>
  <si>
    <t>Rehovot, HaMerkaz, Israel, Asia</t>
  </si>
  <si>
    <t>oshi.com</t>
  </si>
  <si>
    <t>oshiseafood</t>
  </si>
  <si>
    <t>https://pitchbook.com/profiles/company/481241-26</t>
  </si>
  <si>
    <t>https://x.com/oshiseafood</t>
  </si>
  <si>
    <t>info@plantish.com</t>
  </si>
  <si>
    <t>2026-05-25 22:23:09.396137+00</t>
  </si>
  <si>
    <t>cycles</t>
  </si>
  <si>
    <t>cycles-d8e9</t>
  </si>
  <si>
    <t>Cycles</t>
  </si>
  <si>
    <t>Cycles is building a private, privacy-preserving clearing network for crypto markets and stablecoin payments.</t>
  </si>
  <si>
    <t>cycles.money</t>
  </si>
  <si>
    <t>cycles-protocol</t>
  </si>
  <si>
    <t>https://pitchbook.com/profiles/company/897304-15</t>
  </si>
  <si>
    <t>https://x.com/cyclesmoney</t>
  </si>
  <si>
    <t>2026-05-25 21:13:23.721601+00</t>
  </si>
  <si>
    <t>pixie-dust-technologies</t>
  </si>
  <si>
    <t>Pixie Dust Technologies</t>
  </si>
  <si>
    <t>Pixie Dust Technologies develops healthcare and spatial-acoustics products based on wave control technology.</t>
  </si>
  <si>
    <t>delisted</t>
  </si>
  <si>
    <t>pixiedusttech.com</t>
  </si>
  <si>
    <t>pixiedusttech</t>
  </si>
  <si>
    <t>https://pitchbook.com/profiles/company/233396-92</t>
  </si>
  <si>
    <t>https://x.com/pixiedusttech</t>
  </si>
  <si>
    <t>info@pixiedusttech.com</t>
  </si>
  <si>
    <t>2026-05-25 21:06:08.495334+00</t>
  </si>
  <si>
    <t>bytelab</t>
  </si>
  <si>
    <t>BiteLab</t>
  </si>
  <si>
    <t>BiteLab is a brand commerce company operating proprietary beauty and lifestyle brands.</t>
  </si>
  <si>
    <t>bitelab.co.kr</t>
  </si>
  <si>
    <t>%ec%a3%bc-%eb%b0%94%ec%9d%b4%ed%8a%b8%eb%9e%a9-bitelab</t>
  </si>
  <si>
    <t>2026-05-25 20:50:32.042927+00</t>
  </si>
  <si>
    <t>flick-1</t>
  </si>
  <si>
    <t>Flick</t>
  </si>
  <si>
    <t>Flick is an AI-native filmmaking platform that lets filmmakers direct AI-generated films with cinematic controls and iterative, non-linear creative workflows.</t>
  </si>
  <si>
    <t>https://pitchbook.com/profiles/company/1131644-44</t>
  </si>
  <si>
    <t>2026-05-14 18:00:41.371109+00</t>
  </si>
  <si>
    <t>2026-05-25 20:20:06.672244+00</t>
  </si>
  <si>
    <t>kleva</t>
  </si>
  <si>
    <t>Kleva</t>
  </si>
  <si>
    <t>Kleva is a Mexican startup that builds AI agents for debt collection to automate contact centers for banks, lenders and fintechs.</t>
  </si>
  <si>
    <t>kleva.co</t>
  </si>
  <si>
    <t>kleva-ai</t>
  </si>
  <si>
    <t>2026-04-30 18:00:35.688711+00</t>
  </si>
  <si>
    <t>2026-05-25 20:20:06.602298+00</t>
  </si>
  <si>
    <t>hyperus</t>
  </si>
  <si>
    <t>Hyperus</t>
  </si>
  <si>
    <t>Hyperus builds integrated industrial hardware and cloud software with AI to monitor machine performance, identify losses and track OEE in real time.</t>
  </si>
  <si>
    <t>hyperus.com.br</t>
  </si>
  <si>
    <t>https://pitchbook.com/profiles/company/595811-98</t>
  </si>
  <si>
    <t>2026-05-25 20:20:06.528333+00</t>
  </si>
  <si>
    <t>terra-atmos</t>
  </si>
  <si>
    <t>Terra Atmos</t>
  </si>
  <si>
    <t>Terra Atmos is a University of Innsbruck spin-off that provides a SaaS delivering integrated satellite- and weather-based land‚Äìatmosphere datasets and automated climate and environmental analyses.</t>
  </si>
  <si>
    <t>terra-atmos.com</t>
  </si>
  <si>
    <t>2026-05-25 20:18:39.669677+00</t>
  </si>
  <si>
    <t>impetux</t>
  </si>
  <si>
    <t>impetux-optics</t>
  </si>
  <si>
    <t>Impetux</t>
  </si>
  <si>
    <t>Impetux Optics is a University of Barcelona spin-off that develops advanced photonic instrumentation for life sciences, including optical tweezers and novel confocal microscopy systems.</t>
  </si>
  <si>
    <t>impetux.com</t>
  </si>
  <si>
    <t>impetux-optics-s-l-</t>
  </si>
  <si>
    <t>https://pitchbook.com/profiles/company/235008-73</t>
  </si>
  <si>
    <t>https://x.com/impetuxoptics</t>
  </si>
  <si>
    <t>impetux@impetux.com</t>
  </si>
  <si>
    <t>+34 931 85 69 38</t>
  </si>
  <si>
    <t>2026-05-25 19:07:28.772039+00</t>
  </si>
  <si>
    <t>ecodetect</t>
  </si>
  <si>
    <t>Ecodetect</t>
  </si>
  <si>
    <t>Ecodetect is an Anglesey-based company that develops AI-driven marine monitoring technology to identify and record wildlife interactions with marine infrastructure.</t>
  </si>
  <si>
    <t>Gaerwen, Isle of Anglesey, United Kingdom, Europe</t>
  </si>
  <si>
    <t>ecodetect.co.uk</t>
  </si>
  <si>
    <t>ecodetectuk</t>
  </si>
  <si>
    <t>https://pitchbook.com/profiles/company/807546-79</t>
  </si>
  <si>
    <t>info@ecodetect.co.uk</t>
  </si>
  <si>
    <t>2026-05-25 19:07:28.500374+00</t>
  </si>
  <si>
    <t>flourish-3</t>
  </si>
  <si>
    <t>Flourish</t>
  </si>
  <si>
    <t>Flourish is a company developing neuroscience-informed approaches to dramatically improve the energy efficiency of large AI systems.</t>
  </si>
  <si>
    <t>2026-05-25 19:07:28.394099+00</t>
  </si>
  <si>
    <t>novella</t>
  </si>
  <si>
    <t>novella-df85</t>
  </si>
  <si>
    <t>Novella</t>
  </si>
  <si>
    <t>Novella is an AI-powered wholesale insurance broker that uses proprietary AI agents to assist brokers and underwriters in placing specialty P&amp;C risks.</t>
  </si>
  <si>
    <t>bynovella.com</t>
  </si>
  <si>
    <t>novellainsurance</t>
  </si>
  <si>
    <t>https://pitchbook.com/profiles/company/608762-80</t>
  </si>
  <si>
    <t>https://x.com/withnovella</t>
  </si>
  <si>
    <t>help@bynovella.com</t>
  </si>
  <si>
    <t>2026-05-25 17:22:28.991134+00</t>
  </si>
  <si>
    <t>gradius</t>
  </si>
  <si>
    <t>Gradius</t>
  </si>
  <si>
    <t>Gradius is an AdTech platform that places native advertising inside AI services.</t>
  </si>
  <si>
    <t>gradius.pro</t>
  </si>
  <si>
    <t>2026-05-25 17:22:28.921357+00</t>
  </si>
  <si>
    <t>shiprazor</t>
  </si>
  <si>
    <t>Shiprazor</t>
  </si>
  <si>
    <t>Shiprazor is a Cape Town-based e-commerce merchant technology and smart logistics platform that helps merchants reduce delivery costs, improve fulfillment performance and manage shipping at scale.</t>
  </si>
  <si>
    <t>shiprazor.com</t>
  </si>
  <si>
    <t>https://pitchbook.com/profiles/company/552655-09</t>
  </si>
  <si>
    <t>support@shiprazor.com</t>
  </si>
  <si>
    <t>2026-05-25 17:22:28.665804+00</t>
  </si>
  <si>
    <t>pmtbox</t>
  </si>
  <si>
    <t>pmtbox is a unified commerce platform that consolidates payments, risk intelligence, and transaction data for merchants.</t>
  </si>
  <si>
    <t>Orem, Utah, United States, North America</t>
  </si>
  <si>
    <t>pmtbox.com</t>
  </si>
  <si>
    <t>https://pitchbook.com/profiles/company/1307726-56</t>
  </si>
  <si>
    <t>https://x.com/pmtboxinc</t>
  </si>
  <si>
    <t>+1 800-720-3323</t>
  </si>
  <si>
    <t>2026-04-30 14:00:38.88059+00</t>
  </si>
  <si>
    <t>2026-05-25 17:22:28.355328+00</t>
  </si>
  <si>
    <t>chance</t>
  </si>
  <si>
    <t>Chance</t>
  </si>
  <si>
    <t>Chance is a community-focused collectibles superapp for Pok√©mon trading card game enthusiasts that combines marketing and sale of physical cards with a digital platform to discover, collect, trade, and engage.</t>
  </si>
  <si>
    <t>chance.live</t>
  </si>
  <si>
    <t>2026-05-25 17:22:28.223423+00</t>
  </si>
  <si>
    <t>hydrogen-startup</t>
  </si>
  <si>
    <t>Hydrogen Startup</t>
  </si>
  <si>
    <t>Hydrogen Startup is a green hydrogen developer building a pilot hydrogen plant in the Netherlands.</t>
  </si>
  <si>
    <t>2026-05-25 17:22:27.894907+00</t>
  </si>
  <si>
    <t>blomma</t>
  </si>
  <si>
    <t>Blomma</t>
  </si>
  <si>
    <t>Blomma is a San Francisco‚Äìbased AI career coaching platform that provides a private, personalized AI coach to help users navigate feedback, conversations, priorities and leadership transitions.</t>
  </si>
  <si>
    <t>blomma.com</t>
  </si>
  <si>
    <t>2026-05-25 17:22:27.825507+00</t>
  </si>
  <si>
    <t>dreamteam-1</t>
  </si>
  <si>
    <t>Dreamteam</t>
  </si>
  <si>
    <t>Dreamteam is an AI-native CRM that automatically captures and structures customer data and runs agent-driven workflows‚Äîlike lead qualification, meeting scheduling, deal tracking and extracting context from calls, emails and meetings‚Äîto eliminate manual entry and enable natural-language interactions.</t>
  </si>
  <si>
    <t>dreamteam.co</t>
  </si>
  <si>
    <t>2026-05-25 17:22:27.752904+00</t>
  </si>
  <si>
    <t>stock</t>
  </si>
  <si>
    <t>Stock</t>
  </si>
  <si>
    <t>Stock is a Chicago startup that connects brands and third-party logistics companies with nonprofits to donate excess and end-of-life inventory.</t>
  </si>
  <si>
    <t>stockitbetter.com</t>
  </si>
  <si>
    <t>stockitbetter</t>
  </si>
  <si>
    <t>2026-05-25 17:22:27.680158+00</t>
  </si>
  <si>
    <t>gradiant</t>
  </si>
  <si>
    <t>gradiant-aede</t>
  </si>
  <si>
    <t>Gradiant</t>
  </si>
  <si>
    <t>Gradiant is a Boston-based company that designs, builds and operates advanced end-to-end water and wastewater treatment solutions.</t>
  </si>
  <si>
    <t>Woburn, Massachusetts, United States, North America</t>
  </si>
  <si>
    <t>gradiant.com</t>
  </si>
  <si>
    <t>gradiant-corporation</t>
  </si>
  <si>
    <t>https://pitchbook.com/profiles/company/57585-97</t>
  </si>
  <si>
    <t>https://x.com/gradiant_corp</t>
  </si>
  <si>
    <t>2026-05-25 15:25:31.848273+00</t>
  </si>
  <si>
    <t>ampa</t>
  </si>
  <si>
    <t>ampa-health</t>
  </si>
  <si>
    <t>Ampa</t>
  </si>
  <si>
    <t>Ampa is a neurotechnology company that develops practical tools to help people recover their mental health, including the FDA-cleared Ampa One TMS system.</t>
  </si>
  <si>
    <t>ampahealth.com</t>
  </si>
  <si>
    <t>ampahealth</t>
  </si>
  <si>
    <t>https://pitchbook.com/profiles/company/600578-83</t>
  </si>
  <si>
    <t>2025-10-22 16:30:34.558113+00</t>
  </si>
  <si>
    <t>2026-05-25 15:25:28.78506+00</t>
  </si>
  <si>
    <t>ola-dimensions</t>
  </si>
  <si>
    <t>Ola Dimensions</t>
  </si>
  <si>
    <t>Ola Dimensions is a home embodied intelligence startup building home robots and a developer-focused Maker edition.</t>
  </si>
  <si>
    <t>2026-05-25 15:25:28.715938+00</t>
  </si>
  <si>
    <t>wonderlab-bio</t>
  </si>
  <si>
    <t>Wonderlab Bio</t>
  </si>
  <si>
    <t>Wonderlab Bio is a Boston-based company engineering off-the-shelf cell therapies from a proprietary bank of HLA-homozygous induced pluripotent stem cells (iPSCs).</t>
  </si>
  <si>
    <t>wonderlab.bio</t>
  </si>
  <si>
    <t>2026-05-25 15:25:28.647556+00</t>
  </si>
  <si>
    <t>roxberry</t>
  </si>
  <si>
    <t>roxberry-naturals</t>
  </si>
  <si>
    <t>Roxberry</t>
  </si>
  <si>
    <t>Roxberry is a Columbus-based better-for-you modern soda brand for kids made with real fruits and vegetables and low sugar.</t>
  </si>
  <si>
    <t>Columbus, Ohio, United States, North America</t>
  </si>
  <si>
    <t>getroxberry.com</t>
  </si>
  <si>
    <t>https://pitchbook.com/profiles/company/551279-98</t>
  </si>
  <si>
    <t>2026-05-25 15:25:28.586855+00</t>
  </si>
  <si>
    <t>greatly-health</t>
  </si>
  <si>
    <t>Greatly Health</t>
  </si>
  <si>
    <t>Greatly Health delivers virtual integrative oncology programs that integrate evidence-based supportive therapies into the cancer treatment journey.</t>
  </si>
  <si>
    <t>greatlyhealth.com</t>
  </si>
  <si>
    <t>https://pitchbook.com/profiles/company/1372624-12</t>
  </si>
  <si>
    <t>2026-04-30 13:00:32.121578+00</t>
  </si>
  <si>
    <t>2026-05-25 15:25:28.272204+00</t>
  </si>
  <si>
    <t>kordata-dynamics</t>
  </si>
  <si>
    <t>Kordata Dynamics</t>
  </si>
  <si>
    <t>Kordata Dynamics is a clinical trial innovation company building an AI-powered platform for precision clinical trials that leverages BIOS Health‚Äôs neural biomarker and dosing technology.</t>
  </si>
  <si>
    <t>kordatadynamics.com</t>
  </si>
  <si>
    <t>2026-05-25 15:25:27.369898+00</t>
  </si>
  <si>
    <t>featherless-ai</t>
  </si>
  <si>
    <t>Featherless.ai</t>
  </si>
  <si>
    <t>Featherless.ai is a serverless inference platform that enables enterprises to run and deploy open-source AI models.</t>
  </si>
  <si>
    <t>featherless.ai</t>
  </si>
  <si>
    <t>feather-serverless-ai</t>
  </si>
  <si>
    <t>https://pitchbook.com/profiles/company/592819-30</t>
  </si>
  <si>
    <t>https://x.com/FeatherlessAI</t>
  </si>
  <si>
    <t>hello@featherless.ai</t>
  </si>
  <si>
    <t>2026-05-25 14:06:47.271126+00</t>
  </si>
  <si>
    <t>golden-child</t>
  </si>
  <si>
    <t>golden-child-4dcf</t>
  </si>
  <si>
    <t>Golden Child</t>
  </si>
  <si>
    <t>Golden Child is a Miami-based fresh dog food company creating veterinary nutrition‚Äìbacked fresh meals and functional flavor toppers</t>
  </si>
  <si>
    <t>Miami, Florida, United States, North America</t>
  </si>
  <si>
    <t>mygoldenchild.com</t>
  </si>
  <si>
    <t>my-golden-child</t>
  </si>
  <si>
    <t>https://pitchbook.com/profiles/company/1380934-72</t>
  </si>
  <si>
    <t>2026-05-25 14:06:46.973356+00</t>
  </si>
  <si>
    <t>carlichauns</t>
  </si>
  <si>
    <t>Carlichauns</t>
  </si>
  <si>
    <t>Carlichauns is a consumer brand preparing to enter production following a successful crowdfunding campaign.</t>
  </si>
  <si>
    <t>carlichauns.com</t>
  </si>
  <si>
    <t>https://pitchbook.com/profiles/company/732014-83</t>
  </si>
  <si>
    <t>2026-04-30 12:00:39.884455+00</t>
  </si>
  <si>
    <t>2026-05-25 14:06:46.887649+00</t>
  </si>
  <si>
    <t>manamind</t>
  </si>
  <si>
    <t>ManaMind</t>
  </si>
  <si>
    <t>ManaMind is an AI-driven company building autonomous agents to automate QA and game testing.</t>
  </si>
  <si>
    <t>manamind.ai</t>
  </si>
  <si>
    <t>https://pitchbook.com/profiles/company/1130554-99</t>
  </si>
  <si>
    <t>2026-05-25 14:06:46.608521+00</t>
  </si>
  <si>
    <t>ubiqedge</t>
  </si>
  <si>
    <t>Ubiqedge</t>
  </si>
  <si>
    <t>Ubiqedge is a full-stack AIoT company building an AIoT operating system to monitor, control, and optimize industrial infrastructure and critical assets in real time.</t>
  </si>
  <si>
    <t>ubiqedge.com</t>
  </si>
  <si>
    <t>2026-05-25 14:06:46.506581+00</t>
  </si>
  <si>
    <t>lingdong-xinguang</t>
  </si>
  <si>
    <t>Lingdong Xinguang</t>
  </si>
  <si>
    <t>Lingdong Xinguang is a silicon photonics company developing multi-wavelength dense light sources (SmartComb) and SmartPHY optical I/O micro-chiplets for chip-to-chip optical interconnects.</t>
  </si>
  <si>
    <t>smartcore.cn</t>
  </si>
  <si>
    <t>https://pitchbook.com/profiles/company/503988-58</t>
  </si>
  <si>
    <t>2026-05-25 14:06:46.419111+00</t>
  </si>
  <si>
    <t>auryx</t>
  </si>
  <si>
    <t>Auryx</t>
  </si>
  <si>
    <t>Auryx is a Cambridge-based AI health technology company that converts microphones in consumer devices into continuous health monitors using acoustic signals.</t>
  </si>
  <si>
    <t>auryx.ai</t>
  </si>
  <si>
    <t>auryxai</t>
  </si>
  <si>
    <t>https://pitchbook.com/profiles/company/818662-60</t>
  </si>
  <si>
    <t>contact@auryx.ai</t>
  </si>
  <si>
    <t>2026-05-25 14:06:46.320456+00</t>
  </si>
  <si>
    <t>diga</t>
  </si>
  <si>
    <t>Diga</t>
  </si>
  <si>
    <t>Diga is a Spanish platform that enables agencies and professionals to create and operate complete voice-AI agents via a chat-based copilot.</t>
  </si>
  <si>
    <t>diga.io</t>
  </si>
  <si>
    <t>2026-05-25 14:06:46.21917+00</t>
  </si>
  <si>
    <t>prithu</t>
  </si>
  <si>
    <t>Prithu</t>
  </si>
  <si>
    <t>Prithu is a Gurugram-based climate technology startup.</t>
  </si>
  <si>
    <t>prithu.earth</t>
  </si>
  <si>
    <t>prithuearth</t>
  </si>
  <si>
    <t>2026-05-25 14:06:45.914146+00</t>
  </si>
  <si>
    <t>mosaic-soc</t>
  </si>
  <si>
    <t>Mosaic SoC</t>
  </si>
  <si>
    <t>Mosaic SoC is an ETH Zurich spinout that designs multi-core, low-power perception chips and accompanying toolchains to deliver always-on spatial intelligence for energy-constrained devices.</t>
  </si>
  <si>
    <t>mosaic-soc.com</t>
  </si>
  <si>
    <t>https://pitchbook.com/profiles/company/706727-62</t>
  </si>
  <si>
    <t>info@mosaic-soc.com</t>
  </si>
  <si>
    <t>2026-05-25 14:06:45.441299+00</t>
  </si>
  <si>
    <t>forum-ai</t>
  </si>
  <si>
    <t>Forum AI</t>
  </si>
  <si>
    <t>Forum AI is an independent AI assessment firm that uses a network of domain experts to audit bias, tone, and balance in AI model outputs.</t>
  </si>
  <si>
    <t>byforum.com</t>
  </si>
  <si>
    <t>byforum</t>
  </si>
  <si>
    <t>https://pitchbook.com/profiles/company/1157674-06</t>
  </si>
  <si>
    <t>2026-05-14 10:00:38.157765+00</t>
  </si>
  <si>
    <t>2026-05-25 13:25:35.194125+00</t>
  </si>
  <si>
    <t>agenium</t>
  </si>
  <si>
    <t>agenium-ai</t>
  </si>
  <si>
    <t>Agenium</t>
  </si>
  <si>
    <t>Agenium is a cloud-based no-code platform that digitizes and automates insurance processes, with a focus on underwriting, application handling and policy issuance.</t>
  </si>
  <si>
    <t>Milwaukee, Wisconsin, United States, North America</t>
  </si>
  <si>
    <t>agenium.ai</t>
  </si>
  <si>
    <t>2026-05-13 20:00:41.756156+00</t>
  </si>
  <si>
    <t>2026-05-25 13:25:34.879239+00</t>
  </si>
  <si>
    <t>hua-xi-hang-kong</t>
  </si>
  <si>
    <t>huaxi-aviation</t>
  </si>
  <si>
    <t>ÂçéÂñúËà™Á©∫</t>
  </si>
  <si>
    <t>ÂçéÂñúËà™Á©∫ is an aviation startup pursuing core technology development, validation test flights, airworthiness certification, and commercial market rollout.</t>
  </si>
  <si>
    <t>2026-05-25 13:25:34.37175+00</t>
  </si>
  <si>
    <t>kalshi</t>
  </si>
  <si>
    <t>Kalshi</t>
  </si>
  <si>
    <t>Kalshi is a NYC-based prediction market company that operates a federally regulated financial exchange for trading event contracts on real-world outcomes.</t>
  </si>
  <si>
    <t>kalshi.com</t>
  </si>
  <si>
    <t>https://pitchbook.com/profiles/company/266440-96</t>
  </si>
  <si>
    <t>https://x.com/kalshi</t>
  </si>
  <si>
    <t>media@kalshi.com</t>
  </si>
  <si>
    <t>+1 332-205-9910</t>
  </si>
  <si>
    <t>2026-05-25 13:25:34.239146+00</t>
  </si>
  <si>
    <t>captain-1</t>
  </si>
  <si>
    <t>Captain</t>
  </si>
  <si>
    <t>Captain is a company building a joint category development platform that uses agentic AI to enable retailers and suppliers in the European FMCG sector to collaborate on assortment, sales and shrinkage optimization.</t>
  </si>
  <si>
    <t>gocaptain.ai</t>
  </si>
  <si>
    <t>go-captain-ai</t>
  </si>
  <si>
    <t>2026-05-25 13:25:33.90678+00</t>
  </si>
  <si>
    <t>crazy-mountain</t>
  </si>
  <si>
    <t>Crazy Mountain</t>
  </si>
  <si>
    <t>Crazy Mountain is a Los Angeles-based non-alcoholic beer brand offering two SKUs‚ÄîOriginal and Lime‚Äîfor core beer drinkers seeking moderation.</t>
  </si>
  <si>
    <t>crazymountain.com</t>
  </si>
  <si>
    <t>crazymountain</t>
  </si>
  <si>
    <t>https://pitchbook.com/profiles/company/1381303-45</t>
  </si>
  <si>
    <t>2026-05-25 13:25:33.835061+00</t>
  </si>
  <si>
    <t>bost-boer</t>
  </si>
  <si>
    <t>Bost Boer</t>
  </si>
  <si>
    <t>Bost Boer is an intelligent chassis company that develops braking, suspension, steering systems and domain controllers.</t>
  </si>
  <si>
    <t>2026-05-25 13:25:33.516193+00</t>
  </si>
  <si>
    <t>legend-1</t>
  </si>
  <si>
    <t>Legend</t>
  </si>
  <si>
    <t>Legend is a crypto trading platform that offers a public alpha trading experience and seasonal product launches.</t>
  </si>
  <si>
    <t>legendsolana.com</t>
  </si>
  <si>
    <t>https://x.com/legendonsolana</t>
  </si>
  <si>
    <t>2026-05-25 13:25:33.446688+00</t>
  </si>
  <si>
    <t>ties</t>
  </si>
  <si>
    <t>TIES</t>
  </si>
  <si>
    <t>TIES is a doctor-formulated men's fertility and performance supplement brand focused on reproductive medicine, integrative health, and preconception nutrition.</t>
  </si>
  <si>
    <t>allourties.com</t>
  </si>
  <si>
    <t>allourties</t>
  </si>
  <si>
    <t>https://x.com/tiesnutrition</t>
  </si>
  <si>
    <t>2026-05-25 13:25:33.375054+00</t>
  </si>
  <si>
    <t>chimpx</t>
  </si>
  <si>
    <t>chimpx-ai</t>
  </si>
  <si>
    <t>ChimpX</t>
  </si>
  <si>
    <t>ChimpX is a DeFi AI company building Mojo, an AI execution agent that turns plain-English intent into on-chain DeFi execution with gas abstraction.</t>
  </si>
  <si>
    <t>chimpx.ai</t>
  </si>
  <si>
    <t>https://pitchbook.com/profiles/company/820631-80</t>
  </si>
  <si>
    <t>https://x.com/chimpxai</t>
  </si>
  <si>
    <t>2026-05-25 13:25:33.310466+00</t>
  </si>
  <si>
    <t>tryll</t>
  </si>
  <si>
    <t>tryll-engine</t>
  </si>
  <si>
    <t>Tryll</t>
  </si>
  <si>
    <t>Tryll is a startup that enables game studios to run AI locally on players' GPUs to simplify integration and reduce reliance on cloud infrastructure.</t>
  </si>
  <si>
    <t>tryllengine.com</t>
  </si>
  <si>
    <t>tryllengine</t>
  </si>
  <si>
    <t>team@tryllengine.com</t>
  </si>
  <si>
    <t>2026-05-25 13:25:33.236189+00</t>
  </si>
  <si>
    <t>depth-health</t>
  </si>
  <si>
    <t>DEPTH Health</t>
  </si>
  <si>
    <t>DEPTH Health is a La Jolla, CA‚Äìbased hospital operations startup that provides AI-driven patient flow optimization.</t>
  </si>
  <si>
    <t>depthhealth.com</t>
  </si>
  <si>
    <t>2026-05-25 13:25:33.165754+00</t>
  </si>
  <si>
    <t>efferon</t>
  </si>
  <si>
    <t>efferon-lps</t>
  </si>
  <si>
    <t>Efferon</t>
  </si>
  <si>
    <t>Efferon is a biotech company that develops hemoadsorption devices to remove endotoxins and inflammatory mediators from the bloodstream for treatment of sepsis, septic shock and other inflammation-related conditions.</t>
  </si>
  <si>
    <t>Villach, Karnten, Austria, Europe</t>
  </si>
  <si>
    <t>efferon.com</t>
  </si>
  <si>
    <t>https://pitchbook.com/profiles/company/517991-59</t>
  </si>
  <si>
    <t>2026-05-21 12:00:33.38799+00</t>
  </si>
  <si>
    <t>2026-05-25 13:25:32.653788+00</t>
  </si>
  <si>
    <t>bibo-1</t>
  </si>
  <si>
    <t>BIBO</t>
  </si>
  <si>
    <t>BIBO Automotive Electronics Co., Ltd. develops and produces smart chassis systems including integrated brake-by-wire and electronic body stability control solutions.</t>
  </si>
  <si>
    <t>2026-05-25 13:25:32.586037+00</t>
  </si>
  <si>
    <t>plan-your-baby</t>
  </si>
  <si>
    <t>Plan Your Baby</t>
  </si>
  <si>
    <t>Plan Your Baby is a UK-based virtual fertility clinic offering IVF and fertility treatments via a telehealth model.</t>
  </si>
  <si>
    <t>planyourbaby.co.uk</t>
  </si>
  <si>
    <t>https://pitchbook.com/profiles/company/530668-54</t>
  </si>
  <si>
    <t>2026-05-25 13:25:32.33191+00</t>
  </si>
  <si>
    <t>adsmith-ai</t>
  </si>
  <si>
    <t>Adsmith.ai</t>
  </si>
  <si>
    <t>Adsmith.ai is an ad research startup that focuses on optimizing and growing digital advertising performance.</t>
  </si>
  <si>
    <t>adsmith.ai</t>
  </si>
  <si>
    <t>adsmithai</t>
  </si>
  <si>
    <t>2026-05-25 13:25:32.264557+00</t>
  </si>
  <si>
    <t>leapmind-growth</t>
  </si>
  <si>
    <t>leapmind-06d7</t>
  </si>
  <si>
    <t>LeapMind Growth</t>
  </si>
  <si>
    <t>LeapMind Growth is an AI-driven marketing startup that builds GrowthGPT, an autonomous system for managing and optimizing advertising strategies.</t>
  </si>
  <si>
    <t>growthgpt.app</t>
  </si>
  <si>
    <t>growthgpt</t>
  </si>
  <si>
    <t>https://x.com/GrowthGPTapp</t>
  </si>
  <si>
    <t>support@growthgpt.app</t>
  </si>
  <si>
    <t>2026-05-25 13:25:32.192231+00</t>
  </si>
  <si>
    <t>emovly</t>
  </si>
  <si>
    <t>eMovly</t>
  </si>
  <si>
    <t>eMovly is a UK‚Äëheadquartered electric delivery fleet operator that designs and deploys branded electric bikes through logistics partnerships and leasing arrangements.</t>
  </si>
  <si>
    <t>emovly.com</t>
  </si>
  <si>
    <t>2026-05-25 13:25:32.1251+00</t>
  </si>
  <si>
    <t>aventera</t>
  </si>
  <si>
    <t>Aventera</t>
  </si>
  <si>
    <t>Aventera Antibodies AB is a company developing antibody therapeutics targeting streptococcal infections.</t>
  </si>
  <si>
    <t>aventeraantibodies.com</t>
  </si>
  <si>
    <t>aventera-antibodies</t>
  </si>
  <si>
    <t>https://pitchbook.com/profiles/company/1380960-73</t>
  </si>
  <si>
    <t>2026-05-25 13:25:32.053508+00</t>
  </si>
  <si>
    <t>coachable</t>
  </si>
  <si>
    <t>Coachable</t>
  </si>
  <si>
    <t>Coachable is a sports-tech app that lets coaches animate and digitally share playbooks.</t>
  </si>
  <si>
    <t>coachableplays.com</t>
  </si>
  <si>
    <t>2026-05-25 13:25:31.984237+00</t>
  </si>
  <si>
    <t>bostboer</t>
  </si>
  <si>
    <t>Bostboer</t>
  </si>
  <si>
    <t>Bostboer (Bost) is a developer and supplier of intelligent vehicle chassis systems covering braking, suspension, steering and domain controllers.</t>
  </si>
  <si>
    <t>2026-05-25 13:25:31.910006+00</t>
  </si>
  <si>
    <t>addparts</t>
  </si>
  <si>
    <t>AddParts</t>
  </si>
  <si>
    <t>AddParts is a UK-based digital manufacturing company that digitises, manages, and reproduces critical spare parts for pharmaceutical and other regulated manufacturers.</t>
  </si>
  <si>
    <t>addparts.co.uk</t>
  </si>
  <si>
    <t>https://pitchbook.com/profiles/company/820932-49</t>
  </si>
  <si>
    <t>2026-05-25 13:25:31.629241+00</t>
  </si>
  <si>
    <t>ystory</t>
  </si>
  <si>
    <t>YStory</t>
  </si>
  <si>
    <t>YStory is a femtech startup offering JoyHer, a data-driven smartphone app and community services supporting menopausal women's health.</t>
  </si>
  <si>
    <t>Minato, Chiba, Japan, Asia</t>
  </si>
  <si>
    <t>ystoryhealth.com</t>
  </si>
  <si>
    <t>%e6%a0%aa%e5%bc%8f%e4%bc%9a%e7%a4%beystory</t>
  </si>
  <si>
    <t>contact@ystoryfemtech.com</t>
  </si>
  <si>
    <t>2026-05-25 13:25:31.524213+00</t>
  </si>
  <si>
    <t>roboxi</t>
  </si>
  <si>
    <t>Roboxi</t>
  </si>
  <si>
    <t>Roboxi is a company that builds autonomous robots for airports that detect and collect foreign object debris, inspect runway lights, measure runway surfaces with 3D laser, and deter birds and wildlife using AI-driven imaging.</t>
  </si>
  <si>
    <t>roboxi.com</t>
  </si>
  <si>
    <t>2026-05-25 13:06:35.561998+00</t>
  </si>
  <si>
    <t>cosmico</t>
  </si>
  <si>
    <t>Cosmico</t>
  </si>
  <si>
    <t>Cosmico is a Milan-based HR-tech company that operates a marketplace for freelancing and remote work.</t>
  </si>
  <si>
    <t>wearecosmico.com</t>
  </si>
  <si>
    <t>wearecosmico</t>
  </si>
  <si>
    <t>https://pitchbook.com/profiles/company/517167-64</t>
  </si>
  <si>
    <t>https://x.com/wearecosmico</t>
  </si>
  <si>
    <t>hello@wearecosmico.com</t>
  </si>
  <si>
    <t>2026-05-25 11:51:52.31898+00</t>
  </si>
  <si>
    <t>edumentors</t>
  </si>
  <si>
    <t>Edumentors</t>
  </si>
  <si>
    <t>Edumentors is a London-based AI-enabled online tutoring marketplace that connects students with tutors from elite universities.</t>
  </si>
  <si>
    <t>edumentors.co.uk</t>
  </si>
  <si>
    <t>edumentorsuk</t>
  </si>
  <si>
    <t>https://pitchbook.com/profiles/company/502751-44</t>
  </si>
  <si>
    <t>https://x.com/tedumentors</t>
  </si>
  <si>
    <t>info@edumentors.co.uk</t>
  </si>
  <si>
    <t>+44 7915 247509</t>
  </si>
  <si>
    <t>2026-05-25 11:51:51.875444+00</t>
  </si>
  <si>
    <t>twin-prime-1</t>
  </si>
  <si>
    <t>Twin Prime</t>
  </si>
  <si>
    <t>Twin Prime is a frontier AI lab building multimodal AI systems for defence and security to fuse sensor data and accelerate real-time decision-making.</t>
  </si>
  <si>
    <t>twinprime.ai</t>
  </si>
  <si>
    <t>twinprime</t>
  </si>
  <si>
    <t>2026-05-14 05:00:37.157387+00</t>
  </si>
  <si>
    <t>2026-05-25 11:51:44.240737+00</t>
  </si>
  <si>
    <t>rudanac-biotech</t>
  </si>
  <si>
    <t>Rudanac Biotech</t>
  </si>
  <si>
    <t>Rudanac Biotech is a startup that converts steel, end-of-life tires and scrap into iron nanoparticles for applications in mining and agriculture.</t>
  </si>
  <si>
    <t>rudanacbiotec.com</t>
  </si>
  <si>
    <t>2026-05-25 11:51:44.174566+00</t>
  </si>
  <si>
    <t>origin-lab</t>
  </si>
  <si>
    <t>Origin Lab</t>
  </si>
  <si>
    <t>Origin Lab is a startup that converts and licenses video game assets and footage into training data for world-model-focused AI labs.</t>
  </si>
  <si>
    <t>originlab.ai</t>
  </si>
  <si>
    <t>originlabai</t>
  </si>
  <si>
    <t>hello@originlab.ai</t>
  </si>
  <si>
    <t>2026-05-13 17:00:39.051083+00</t>
  </si>
  <si>
    <t>2026-05-25 11:51:44.107925+00</t>
  </si>
  <si>
    <t>extraordinary-money</t>
  </si>
  <si>
    <t>Extraordinary Money</t>
  </si>
  <si>
    <t>Extraordinary Money is an AI-native consumer finance startup building predictive money management products.</t>
  </si>
  <si>
    <t>xmo.au</t>
  </si>
  <si>
    <t>https://pitchbook.com/profiles/company/1377825-76</t>
  </si>
  <si>
    <t>2026-05-25 11:51:44.040311+00</t>
  </si>
  <si>
    <t>awarp</t>
  </si>
  <si>
    <t>AWARP</t>
  </si>
  <si>
    <t>AWARP is a financial infrastructure project building on-chain systems for real-world asset tokenization, regulated stablecoins, and cross-border payment networks in emerging markets.</t>
  </si>
  <si>
    <t>2026-05-25 11:51:43.973267+00</t>
  </si>
  <si>
    <t>k3metrology</t>
  </si>
  <si>
    <t>K3Metrology</t>
  </si>
  <si>
    <t>K3Metrology is a spinout from the National Physical Laboratory that develops real-time, multi-point metrology systems to measure and monitor large, complex components during assembly.</t>
  </si>
  <si>
    <t>k3metrology.co.uk</t>
  </si>
  <si>
    <t>https://pitchbook.com/profiles/company/1375281-19</t>
  </si>
  <si>
    <t>2026-05-25 11:51:43.723004+00</t>
  </si>
  <si>
    <t>maven-exploration</t>
  </si>
  <si>
    <t>Maven Exploration</t>
  </si>
  <si>
    <t>Maven Exploration is a privately held, fully female-founded Canadian junior mineral exploration company pursuing property acquisitions and exploration work.</t>
  </si>
  <si>
    <t>mavenexploration.com</t>
  </si>
  <si>
    <t>2026-05-25 11:51:43.585199+00</t>
  </si>
  <si>
    <t>enfx-compliance</t>
  </si>
  <si>
    <t>Enfx Compliance</t>
  </si>
  <si>
    <t>Enfx Compliance is a Danish compliance tech startup offering an AI-driven compliance platform for asset managers and securities firms.</t>
  </si>
  <si>
    <t>enfx.io</t>
  </si>
  <si>
    <t>2026-05-25 11:51:43.517467+00</t>
  </si>
  <si>
    <t>wio-capital</t>
  </si>
  <si>
    <t>Wio Capital</t>
  </si>
  <si>
    <t>Wio Capital is a startup that automates wealth management using AI-driven infrastructure and aggregation across multiple entities and banks.</t>
  </si>
  <si>
    <t>wiocapital.com</t>
  </si>
  <si>
    <t>wiocapital</t>
  </si>
  <si>
    <t>https://pitchbook.com/profiles/company/1020007-45</t>
  </si>
  <si>
    <t>2026-05-25 11:51:43.452061+00</t>
  </si>
  <si>
    <t>ccit-group</t>
  </si>
  <si>
    <t>CCiT Group</t>
  </si>
  <si>
    <t>CCiT Group is a Danish IT group providing services across modern workplace, IT infrastructure, ERP and print/copy solutions.</t>
  </si>
  <si>
    <t>ccitgroup.com</t>
  </si>
  <si>
    <t>https://pitchbook.com/profiles/company/465358-33</t>
  </si>
  <si>
    <t>2026-05-25 11:51:43.38578+00</t>
  </si>
  <si>
    <t>yosemite</t>
  </si>
  <si>
    <t>„É®„Çª„Éü„ÉÜ</t>
  </si>
  <si>
    <t>„É®„Çª„Éü„ÉÜ„ÅØ„Ç∞„ÉÉ„Ç∫„Éª„Ç¢„Éë„É¨„É´È†òÂüü„Çí‰∏≠ÂøÉ„Å´ÁîüÁî£ÊîØÊè¥„ÄÅËº∏ÂÖ•ÊîØÊè¥„ÄÅË≤©Â£≤ÊîØÊè¥„Çí‰∏ÄÊ∞óÈÄöË≤´„ÅßÊèê‰æõ„Åô„Çã„Ç≥„Éû„Éº„Çπ„Éª„É©„Ç§„Éï„Çπ„Çø„Ç§„É´È†òÂüü„ÅÆÊîØÊè¥‰ºÅÊ•≠„Åß„Åô„ÄÇ</t>
  </si>
  <si>
    <t>yose-mite.co.jp</t>
  </si>
  <si>
    <t>https://pitchbook.com/profiles/company/515856-52</t>
  </si>
  <si>
    <t>2026-05-25 11:51:43.316615+00</t>
  </si>
  <si>
    <t>degron-therapeutics</t>
  </si>
  <si>
    <t>Degron Therapeutics</t>
  </si>
  <si>
    <t>Degron Therapeutics is a clinical-stage biotechnology company discovering and developing molecular glue degraders using its GlueXplorer¬Æ discovery platform.</t>
  </si>
  <si>
    <t>degrontx.com</t>
  </si>
  <si>
    <t>degrontx</t>
  </si>
  <si>
    <t>https://pitchbook.com/profiles/company/498127-60</t>
  </si>
  <si>
    <t>bd@degrontx.com</t>
  </si>
  <si>
    <t>021-61215873</t>
  </si>
  <si>
    <t>2026-05-25 11:51:43.250322+00</t>
  </si>
  <si>
    <t>hido</t>
  </si>
  <si>
    <t>Hido</t>
  </si>
  <si>
    <t>Hido is a Saudi app that connects visitors with tourism and cultural experiences by enabling local guides, families, and adventurers to offer direct tourism packages.</t>
  </si>
  <si>
    <t>hido.app</t>
  </si>
  <si>
    <t>hidoapp</t>
  </si>
  <si>
    <t>2026-05-25 11:51:43.180171+00</t>
  </si>
  <si>
    <t>sparley-interactive</t>
  </si>
  <si>
    <t>Sparley Interactive</t>
  </si>
  <si>
    <t>Sparley Interactive is a startup studio founded by ex-888 executives Daniel Flesch and Elad Dvir that focuses on peer-to-peer games.</t>
  </si>
  <si>
    <t>sparleyinteractive.com</t>
  </si>
  <si>
    <t>sparley-interactive-ltd</t>
  </si>
  <si>
    <t>2026-05-25 11:51:42.861103+00</t>
  </si>
  <si>
    <t>h2chp</t>
  </si>
  <si>
    <t>H2CHP</t>
  </si>
  <si>
    <t>H2CHP is a Durham University spinout developing fuel‚Äëflexible free‚Äëpiston linear generators for local power generation and energy‚Äëintensive sites.</t>
  </si>
  <si>
    <t>Teesside County Borough, Middlesbrough, United Kingdom, Europe</t>
  </si>
  <si>
    <t>h2chp.co.uk</t>
  </si>
  <si>
    <t>https://pitchbook.com/profiles/company/572362-30</t>
  </si>
  <si>
    <t>2026-05-25 11:51:42.790112+00</t>
  </si>
  <si>
    <t>eaglecloud</t>
  </si>
  <si>
    <t>Eaglecloud</t>
  </si>
  <si>
    <t>Eaglecloud is an enterprise security governance company evolving toward AI-era foundational governance infrastructure for human and AI collaboration.</t>
  </si>
  <si>
    <t>eagle-aig.com</t>
  </si>
  <si>
    <t>https://pitchbook.com/profiles/company/494288-92</t>
  </si>
  <si>
    <t>2026-05-25 11:51:42.721725+00</t>
  </si>
  <si>
    <t>apex-security</t>
  </si>
  <si>
    <t>apex-bc61</t>
  </si>
  <si>
    <t>Apex Security</t>
  </si>
  <si>
    <t>Apex Security is an enterprise cybersecurity company building security capabilities for the AI era.</t>
  </si>
  <si>
    <t>apexhq.ai</t>
  </si>
  <si>
    <t>apexhq-ai</t>
  </si>
  <si>
    <t>https://pitchbook.com/profiles/company/538831-18</t>
  </si>
  <si>
    <t>hello@apexHQ.ai.</t>
  </si>
  <si>
    <t>2026-05-25 11:51:41.479622+00</t>
  </si>
  <si>
    <t>recursive-ai</t>
  </si>
  <si>
    <t>recursive-superintelligence</t>
  </si>
  <si>
    <t>Recursive AI</t>
  </si>
  <si>
    <t>Recursive AI develops recursive self-improving artificial intelligence systems designed to enable AI to improve its own capabilities.</t>
  </si>
  <si>
    <t>recursive.com</t>
  </si>
  <si>
    <t>recursive-si</t>
  </si>
  <si>
    <t>https://pitchbook.com/profiles/company/1376640-73</t>
  </si>
  <si>
    <t>https://x.com/recursive_si</t>
  </si>
  <si>
    <t>2026-05-23 18:00:55.474532+00</t>
  </si>
  <si>
    <t>2026-05-25 11:51:41.224483+00</t>
  </si>
  <si>
    <t>drachma</t>
  </si>
  <si>
    <t>Drachma</t>
  </si>
  <si>
    <t>Drachma builds AI agents that connect large language models to companies' distributed data, systems and business rules to operate within real workflows.</t>
  </si>
  <si>
    <t>2026-05-25 11:51:40.372837+00</t>
  </si>
  <si>
    <t>arrw</t>
  </si>
  <si>
    <t>ARRW</t>
  </si>
  <si>
    <t>ARRW is an Egyptian smart mobility platform operating a ride-hailing service.</t>
  </si>
  <si>
    <t>Cairo, Al Qahirah, Egypt, Africa</t>
  </si>
  <si>
    <t>arrw.com</t>
  </si>
  <si>
    <t>arrweg</t>
  </si>
  <si>
    <t>info@arrw.com</t>
  </si>
  <si>
    <t>2026-05-25 11:51:38.891208+00</t>
  </si>
  <si>
    <t>orbik-cybersecurity</t>
  </si>
  <si>
    <t>Orbik Cybersecurity</t>
  </si>
  <si>
    <t>Orbik Cybersecurity is a Basque startup that provides product cybersecurity and regulatory compliance solutions for industrial and embedded electronics, operating an accredited testing laboratory and a cloud-based SaaS platform.</t>
  </si>
  <si>
    <t>orbik-cybersecurity.com</t>
  </si>
  <si>
    <t>https://pitchbook.com/profiles/company/538988-41</t>
  </si>
  <si>
    <t>2026-05-21 07:00:30.627386+00</t>
  </si>
  <si>
    <t>2026-05-25 11:51:38.819615+00</t>
  </si>
  <si>
    <t>iotrader</t>
  </si>
  <si>
    <t>IOTrader</t>
  </si>
  <si>
    <t>IOTrader is a BNB Smart Chain protocol that unifies perpetual futures, prediction markets, custom event markets and AI-assisted trading into a single wallet experience.</t>
  </si>
  <si>
    <t>iotrader.io</t>
  </si>
  <si>
    <t>https://x.com/iotraderio</t>
  </si>
  <si>
    <t>2026-05-25 11:51:38.494116+00</t>
  </si>
  <si>
    <t>vem-technologies</t>
  </si>
  <si>
    <t>VEM Technologies</t>
  </si>
  <si>
    <t>VEM Technologies is a Hyderabad-based defence and aerospace firm providing system engineering, integration, design, manufacturing and quality assurance for defence, aeronautics and space systems.</t>
  </si>
  <si>
    <t>2026-05-25 11:51:38.358518+00</t>
  </si>
  <si>
    <t>arito-ai</t>
  </si>
  <si>
    <t>Arito AI</t>
  </si>
  <si>
    <t>Arito AI is a Tel Aviv and Palo Alto-based startup building an agentic analytics and monitoring platform for finance and revenue teams.</t>
  </si>
  <si>
    <t>arito.ai</t>
  </si>
  <si>
    <t>arato-ai</t>
  </si>
  <si>
    <t>https://pitchbook.com/profiles/company/608598-01</t>
  </si>
  <si>
    <t>2026-05-25 11:51:38.289589+00</t>
  </si>
  <si>
    <t>silixon</t>
  </si>
  <si>
    <t>SiliXon</t>
  </si>
  <si>
    <t>SiliXon is an AI hardware design platform that converts plain-English prompts into PCB designs and manufacturing-ready prototypes.</t>
  </si>
  <si>
    <t>silixon.io</t>
  </si>
  <si>
    <t>https://pitchbook.com/profiles/company/1318965-22</t>
  </si>
  <si>
    <t>2026-05-25 11:51:38.029374+00</t>
  </si>
  <si>
    <t>drelife</t>
  </si>
  <si>
    <t>Drelife</t>
  </si>
  <si>
    <t>Drelife is a technology platform that enables circularity for retail brands in fashion, sport and lifestyle.</t>
  </si>
  <si>
    <t>drelife.com</t>
  </si>
  <si>
    <t>2026-05-25 11:51:37.960323+00</t>
  </si>
  <si>
    <t>romin</t>
  </si>
  <si>
    <t>Romin</t>
  </si>
  <si>
    <t>Romin is a document AI agent specialist providing document workflow automation.</t>
  </si>
  <si>
    <t>2026-05-25 11:51:37.892409+00</t>
  </si>
  <si>
    <t>out-of-set</t>
  </si>
  <si>
    <t>Out of Set</t>
  </si>
  <si>
    <t>Out of Set is an on-device AI startup developing ultra-light vertical models for speech recognition and speech synthesis that run without an internet connection.</t>
  </si>
  <si>
    <t>outofset.com</t>
  </si>
  <si>
    <t>2026-05-25 11:51:37.819561+00</t>
  </si>
  <si>
    <t>kanara</t>
  </si>
  <si>
    <t>Kanara</t>
  </si>
  <si>
    <t>Kanara is a Canarian biotech startup developing an in vitro plant cell culture platform for controlled production of high-value compounds via cellular agriculture.</t>
  </si>
  <si>
    <t>Santa Cruz De Tenerife, Canarias, Spain, Europe</t>
  </si>
  <si>
    <t>kanaralabs.com</t>
  </si>
  <si>
    <t>kanaralabs</t>
  </si>
  <si>
    <t>https://pitchbook.com/profiles/company/571664-44</t>
  </si>
  <si>
    <t>info@kanaralabs.com</t>
  </si>
  <si>
    <t>2026-05-25 11:51:37.747238+00</t>
  </si>
  <si>
    <t>paygram</t>
  </si>
  <si>
    <t>Paygram</t>
  </si>
  <si>
    <t>Paygram is a Spanish fintech that enables in-chat payments, subscriptions and paid-community access inside messaging apps like Telegram, targeting creators and community managers and integrating local payment methods across Europe and Latin America.</t>
  </si>
  <si>
    <t>2026-05-25 11:51:37.416167+00</t>
  </si>
  <si>
    <t>wirobotigseu</t>
  </si>
  <si>
    <t>ÏúÑÎ°úÎ≥¥Ìã±Ïä§</t>
  </si>
  <si>
    <t>ÏúÑÎ°úÎ≥¥Ìã±Ïä§Îäî Î≥¥ÌñâÎ≥¥Ï°∞ Ïõ®Ïñ¥Îü¨Î∏î Î°úÎ¥á WIMÍ≥º Ìú¥Î®∏ÎÖ∏Ïù¥Îìú ALLEXÏùÑ Í∞úÎ∞ú¬∑ÏÉÅÏö©ÌôîÌïòÎäî Î°úÎ¥á¬∑ÌîºÏßÄÏª¨AI Í∏∞ÏóÖÏù¥Îã§</t>
  </si>
  <si>
    <t>wirobotics.co.kr</t>
  </si>
  <si>
    <t>2026-05-25 11:51:37.34587+00</t>
  </si>
  <si>
    <t>virtualbrowser</t>
  </si>
  <si>
    <t>VirtualBrowser</t>
  </si>
  <si>
    <t>VirtualBrowser is a cybersecurity company that provides remote browser isolation (RBI) technology to execute web browsing on isolated servers and stream a pixel-only view to user endpoints.</t>
  </si>
  <si>
    <t>virtualbrowser.com</t>
  </si>
  <si>
    <t>https://x.com/VirtualBrowser_</t>
  </si>
  <si>
    <t>info@virtualbrowser.com</t>
  </si>
  <si>
    <t>2026-05-25 11:51:37.016433+00</t>
  </si>
  <si>
    <t>bombay-banta</t>
  </si>
  <si>
    <t>Bombay Banta</t>
  </si>
  <si>
    <t>Bombay Banta is a beverage startup that modernizes traditional Indian banta-style drinks and sells a portfolio of carbonated and non-carbonated flavored and low-sugar beverages.</t>
  </si>
  <si>
    <t>bombaybanta.com</t>
  </si>
  <si>
    <t>https://pitchbook.com/profiles/company/537376-42</t>
  </si>
  <si>
    <t>2026-05-25 11:51:36.940491+00</t>
  </si>
  <si>
    <t>fakto</t>
  </si>
  <si>
    <t>Fakto</t>
  </si>
  <si>
    <t>Fakto is an AI startup that ingests supplier contracts and invoices to detect contractual deviations and recover lost supplier spend.</t>
  </si>
  <si>
    <t>fakto.ai</t>
  </si>
  <si>
    <t>2026-05-25 11:51:36.653887+00</t>
  </si>
  <si>
    <t>vobiz-ai</t>
  </si>
  <si>
    <t>Vobiz AI</t>
  </si>
  <si>
    <t>Vobiz AI is a telephony infrastructure startup building infrastructure for voice AI deployments.</t>
  </si>
  <si>
    <t>vobiz.ai</t>
  </si>
  <si>
    <t>vobizai</t>
  </si>
  <si>
    <t>2026-05-25 11:20:19.866522+00</t>
  </si>
  <si>
    <t>coachbetter</t>
  </si>
  <si>
    <t>Coachbetter - You are the game</t>
  </si>
  <si>
    <t>Coachbetter is a platform building an integrated digital operating system to manage administration, communication and training operations for amateur and youth soccer clubs.</t>
  </si>
  <si>
    <t>coachbetter.com</t>
  </si>
  <si>
    <t>coach-better-ltd</t>
  </si>
  <si>
    <t>https://pitchbook.com/profiles/company/438592-42</t>
  </si>
  <si>
    <t>info@coachbetter.com</t>
  </si>
  <si>
    <t>2026-05-25 11:20:19.865245+00</t>
  </si>
  <si>
    <t>resourcly</t>
  </si>
  <si>
    <t>Resourcly</t>
  </si>
  <si>
    <t>Resourcly offers an AI platform that cleans and harmonises manufacturers‚Äô parts data, eliminates duplicates, and recommends interchangeable alternatives to unlock working-capital tied up in excess inventory.</t>
  </si>
  <si>
    <t>Mannheim, Baden-Wurttemberg, Germany, Europe</t>
  </si>
  <si>
    <t>resourcly.earth</t>
  </si>
  <si>
    <t>https://pitchbook.com/profiles/company/538932-79</t>
  </si>
  <si>
    <t>2025-10-07 05:30:22.693809+00</t>
  </si>
  <si>
    <t>2026-05-25 11:20:19.864969+00</t>
  </si>
  <si>
    <t>adam-1</t>
  </si>
  <si>
    <t>adam-2d07</t>
  </si>
  <si>
    <t>Adam</t>
  </si>
  <si>
    <t>Adam develops AI-powered tools that convert text prompts into 3D models and is building an AI copilot to streamline professional CAD workflows.</t>
  </si>
  <si>
    <t>adam.new</t>
  </si>
  <si>
    <t>adamcad</t>
  </si>
  <si>
    <t>https://pitchbook.com/profiles/company/739927-90</t>
  </si>
  <si>
    <t>https://x.com/makewithadam</t>
  </si>
  <si>
    <t>hello@adamcad.com</t>
  </si>
  <si>
    <t>2025-10-31 16:30:27.250462+00</t>
  </si>
  <si>
    <t>2026-05-25 11:20:19.860654+00</t>
  </si>
  <si>
    <t>udaan</t>
  </si>
  <si>
    <t>Udaan</t>
  </si>
  <si>
    <t>Udaan is an Indian B2B e-commerce marketplace connecting millions of small retailers and SMBs with wholesalers and brands, providing inventory sourcing, supply-chain logistics, micro-fulfilment, and merchant working-capital underwriting.</t>
  </si>
  <si>
    <t>udaan.com</t>
  </si>
  <si>
    <t>https://twitter.com/udaandotcom</t>
  </si>
  <si>
    <t>help@udaan.com</t>
  </si>
  <si>
    <t>+91 1800 121 0985</t>
  </si>
  <si>
    <t>2026-05-25 11:20:19.86031+00</t>
  </si>
  <si>
    <t>p-secure</t>
  </si>
  <si>
    <t>P-Secure</t>
  </si>
  <si>
    <t>P-Secure is a Danish startup that provides a European-compliant platform for high-volume employee background checks.</t>
  </si>
  <si>
    <t>p-secure.com</t>
  </si>
  <si>
    <t>p-secure-aps</t>
  </si>
  <si>
    <t>https://pitchbook.com/profiles/company/772179-31</t>
  </si>
  <si>
    <t>2026-05-25 11:20:19.859451+00</t>
  </si>
  <si>
    <t>scope</t>
  </si>
  <si>
    <t>Scope</t>
  </si>
  <si>
    <t>Scope is a London-based provider of an AI workflow platform that improves inspections for the testing, inspection and certification (TIC) industry.</t>
  </si>
  <si>
    <t>getscope.ai</t>
  </si>
  <si>
    <t>scopeinspection</t>
  </si>
  <si>
    <t>https://pitchbook.com/profiles/company/595873-00</t>
  </si>
  <si>
    <t>2026-05-25 11:20:19.859176+00</t>
  </si>
  <si>
    <t>doozy-robotics</t>
  </si>
  <si>
    <t>Doozy Robotics</t>
  </si>
  <si>
    <t>Doozy Robotics is a Singapore-based company building a vertically integrated physical AI industrial workforce of humanoids, autonomous mobile robots, autonomous forklifts, and an orchestration platform.</t>
  </si>
  <si>
    <t>doozyrobotics.com</t>
  </si>
  <si>
    <t>https://pitchbook.com/profiles/company/509764-15</t>
  </si>
  <si>
    <t>info@doozyrobotics.com</t>
  </si>
  <si>
    <t>2026-05-25 11:20:19.855741+00</t>
  </si>
  <si>
    <t>mintlify</t>
  </si>
  <si>
    <t>Mintlify</t>
  </si>
  <si>
    <t>Mintlify is a company building knowledge infrastructure for AI and powering documentation for thousands of companies.</t>
  </si>
  <si>
    <t>mintlify.com</t>
  </si>
  <si>
    <t>https://pitchbook.com/profiles/company/493338-16</t>
  </si>
  <si>
    <t>https://twitter.com/mintlify</t>
  </si>
  <si>
    <t>hi@mintlify.com</t>
  </si>
  <si>
    <t>2026-05-25 11:20:19.854372+00</t>
  </si>
  <si>
    <t>onereg</t>
  </si>
  <si>
    <t>OneReg</t>
  </si>
  <si>
    <t>OneReg is an aviation regulation compliance platform that provides a single system to manage safety, regulatory and compliance data for airlines and airports.</t>
  </si>
  <si>
    <t>Auckland, Auckland, New Zealand, Oceania</t>
  </si>
  <si>
    <t>onereg.com</t>
  </si>
  <si>
    <t>oneregdotcom</t>
  </si>
  <si>
    <t>https://pitchbook.com/profiles/company/495905-50</t>
  </si>
  <si>
    <t>info@onereg.com</t>
  </si>
  <si>
    <t>2026-02-04 00:30:31.138707+00</t>
  </si>
  <si>
    <t>2026-05-25 11:20:19.852072+00</t>
  </si>
  <si>
    <t>synakis</t>
  </si>
  <si>
    <t>Synakis</t>
  </si>
  <si>
    <t>Synakis is a Toronto-based pre-clinical biotechnology company developing ocular therapies for retinal disease and glaucoma using a proprietary hydrogel platform.</t>
  </si>
  <si>
    <t>synakis.ca</t>
  </si>
  <si>
    <t>https://pitchbook.com/profiles/company/343337-32</t>
  </si>
  <si>
    <t>2026-05-25 11:20:19.847759+00</t>
  </si>
  <si>
    <t>ricursive-intelligence</t>
  </si>
  <si>
    <t>Ricursive Intelligence</t>
  </si>
  <si>
    <t>Ricursive Intelligence develops an AI-driven platform that autonomously designs and iteratively improves semiconductor chips.</t>
  </si>
  <si>
    <t>ricursive.com</t>
  </si>
  <si>
    <t>https://pitchbook.com/profiles/company/1167640-12</t>
  </si>
  <si>
    <t>https://x.com/ricursiveai</t>
  </si>
  <si>
    <t>info@ricursive.com</t>
  </si>
  <si>
    <t>2025-12-03 23:30:33.394805+00</t>
  </si>
  <si>
    <t>2026-05-25 10:04:19.202972+00</t>
  </si>
  <si>
    <t>morphing-machines</t>
  </si>
  <si>
    <t>Morphing Machines</t>
  </si>
  <si>
    <t>Morphing Machines specializes in high-performance embedded computing systems, enabling users to scale and provide efficiency for mixed-critical applications in avionics, automotive, telecom and data analytics.</t>
  </si>
  <si>
    <t>morphing.in</t>
  </si>
  <si>
    <t>https://pitchbook.com/profiles/company/551181-25</t>
  </si>
  <si>
    <t>https://x.com/morphingm</t>
  </si>
  <si>
    <t>morph@morphing.in</t>
  </si>
  <si>
    <t>+91 80-4206-0618</t>
  </si>
  <si>
    <t>2026-05-25 08:18:03.533363+00</t>
  </si>
  <si>
    <t>ordermentum</t>
  </si>
  <si>
    <t>ordermentum-pty-ltd</t>
  </si>
  <si>
    <t>Ordermentum</t>
  </si>
  <si>
    <t>Ordermentum is a digital wholesale food-and-beverage ordering, payments and reconciliation platform connecting hospitality venues with suppliers.</t>
  </si>
  <si>
    <t>The Rocks, New South Wales, Australia, Oceania</t>
  </si>
  <si>
    <t>ordermentum.com</t>
  </si>
  <si>
    <t>https://pitchbook.com/profiles/company/160818-13</t>
  </si>
  <si>
    <t>https://www.twitter.com/ordermentum</t>
  </si>
  <si>
    <t>info@ordermentum.com</t>
  </si>
  <si>
    <t>2026-05-25 08:17:25.508487+00</t>
  </si>
  <si>
    <t>ciridae</t>
  </si>
  <si>
    <t>Ciridae</t>
  </si>
  <si>
    <t>Ciridae is a San Francisco-based company building AI operating systems that embed with real-economy businesses to convert core workflows into AI-native software and run them in production.</t>
  </si>
  <si>
    <t>ciridae.com</t>
  </si>
  <si>
    <t>https://pitchbook.com/profiles/company/754120-54</t>
  </si>
  <si>
    <t>info@ciridae.com</t>
  </si>
  <si>
    <t>+1 610 608 9634</t>
  </si>
  <si>
    <t>2026-05-11 15:00:34.574006+00</t>
  </si>
  <si>
    <t>2026-05-25 08:00:50.779896+00</t>
  </si>
  <si>
    <t>arkimedes</t>
  </si>
  <si>
    <t>Arkimedes</t>
  </si>
  <si>
    <t>Arkimedes is an artificial intelligence platform that automates investment and management processes for private equity funds.</t>
  </si>
  <si>
    <t>arkimedes.com</t>
  </si>
  <si>
    <t>arkimedesai</t>
  </si>
  <si>
    <t>2026-05-11 18:00:27.31372+00</t>
  </si>
  <si>
    <t>2026-05-25 07:53:11.856059+00</t>
  </si>
  <si>
    <t>cowboy-space</t>
  </si>
  <si>
    <t>aetherflux</t>
  </si>
  <si>
    <t>Cowboy Space</t>
  </si>
  <si>
    <t>Cowboy Space is a startup building orbital data-center satellites and an in-house rocket program to launch them.</t>
  </si>
  <si>
    <t>cowboyspace.com</t>
  </si>
  <si>
    <t>cowboyspace</t>
  </si>
  <si>
    <t>https://pitchbook.com/profiles/company/719403-94</t>
  </si>
  <si>
    <t>2026-05-25 07:31:03.226751+00</t>
  </si>
  <si>
    <t>ditar</t>
  </si>
  <si>
    <t>Ditar</t>
  </si>
  <si>
    <t>Ditar is a Brussels-based company that develops Optisuite, a tablet-based digital sales platform for opticians</t>
  </si>
  <si>
    <t>ditar.io</t>
  </si>
  <si>
    <t>ditar-io</t>
  </si>
  <si>
    <t>https://pitchbook.com/profiles/company/638345-26</t>
  </si>
  <si>
    <t>contact@ditar.be</t>
  </si>
  <si>
    <t>2026-05-25 07:28:12.675459+00</t>
  </si>
  <si>
    <t>saturn-credit</t>
  </si>
  <si>
    <t>Saturn Credit</t>
  </si>
  <si>
    <t>Saturn Credit is a Bitcoin-compatible digital credit and stablecoin protocol.</t>
  </si>
  <si>
    <t>saturn.credit</t>
  </si>
  <si>
    <t>saturnofficial</t>
  </si>
  <si>
    <t>https://pitchbook.com/profiles/company/1242267-04</t>
  </si>
  <si>
    <t>https://x.com/saturn_credit</t>
  </si>
  <si>
    <t>2026-05-08 23:02:46.385097+00</t>
  </si>
  <si>
    <t>2026-05-25 06:38:07.944717+00</t>
  </si>
  <si>
    <t>cover-it-up</t>
  </si>
  <si>
    <t>Cover It Up</t>
  </si>
  <si>
    <t>Cover It Up is an Indian premium tech-accessories brand that sells licensed and curated phone and gadget cases and accessories.</t>
  </si>
  <si>
    <t>coveritup.com</t>
  </si>
  <si>
    <t>coveritup</t>
  </si>
  <si>
    <t>https://pitchbook.com/profiles/company/455134-42</t>
  </si>
  <si>
    <t>https://x.com/coveritupindia</t>
  </si>
  <si>
    <t>help@coveritup.in</t>
  </si>
  <si>
    <t>+91 9566012018</t>
  </si>
  <si>
    <t>2026-05-09 23:03:23.187308+00</t>
  </si>
  <si>
    <t>2026-05-25 06:16:08.818949+00</t>
  </si>
  <si>
    <t>tinaps</t>
  </si>
  <si>
    <t>tynapse</t>
  </si>
  <si>
    <t>Tynapse</t>
  </si>
  <si>
    <t>Tinaps is a startup developing an "AI Trust Layer" that verifies AI agent responses and system execution in real time to block errors, hallucinations, data leaks, and jailbreak attempts.</t>
  </si>
  <si>
    <t>tynapse.com</t>
  </si>
  <si>
    <t>tynapse-ai</t>
  </si>
  <si>
    <t>https://pitchbook.com/profiles/company/1240296-58</t>
  </si>
  <si>
    <t>2026-05-25 06:11:30.689166+00</t>
  </si>
  <si>
    <t>duneng-technology</t>
  </si>
  <si>
    <t>dunext</t>
  </si>
  <si>
    <t>Duneng Technology</t>
  </si>
  <si>
    <t>Duneng Technology is a commercial and industrial (C&amp;I) energy storage company that develops energy storage systems and supporting software including an EMS and the Dulink cloud scheduling platform.</t>
  </si>
  <si>
    <t>Suzhou, Jiangsu, China, Asia</t>
  </si>
  <si>
    <t>dunext.com</t>
  </si>
  <si>
    <t>https://pitchbook.com/profiles/company/770564-35</t>
  </si>
  <si>
    <t>info@dunext.com</t>
  </si>
  <si>
    <t>+86 178 0107 7751</t>
  </si>
  <si>
    <t>2026-05-25 04:53:04.846971+00</t>
  </si>
  <si>
    <t>circle-arc</t>
  </si>
  <si>
    <t>Arc is a crypto-related firm operating in the financial/technology sector.</t>
  </si>
  <si>
    <t>arc.network</t>
  </si>
  <si>
    <t>https://x.com/arc</t>
  </si>
  <si>
    <t>2026-05-12 23:03:25.681924+00</t>
  </si>
  <si>
    <t>2026-05-25 04:47:52.287338+00</t>
  </si>
  <si>
    <t>climacell-5d6c</t>
  </si>
  <si>
    <t>ClimaCell</t>
  </si>
  <si>
    <t>ClimaCell provides hyper-local, minute-by-minute weather forecasts and hypersensing data by combining satellites, radar and proprietary wireless/IoT sensing, delivered via HyperCast dashboard and APIs to aviation, logistics, mobility, and utilities.</t>
  </si>
  <si>
    <t>Weinheim, Baden-Wurttemberg, Germany, Europe</t>
  </si>
  <si>
    <t>climacell.com</t>
  </si>
  <si>
    <t>info@climacell.de</t>
  </si>
  <si>
    <t>+49 726 591 310</t>
  </si>
  <si>
    <t>2026-05-25 04:04:02.128591+00</t>
  </si>
  <si>
    <t>deepseek</t>
  </si>
  <si>
    <t>DeepSeek</t>
  </si>
  <si>
    <t>DeepSeek is a Chinese AI company developing large language/AI models and open-source model infrastructure.</t>
  </si>
  <si>
    <t>deepseek.com</t>
  </si>
  <si>
    <t>deepseek-ai</t>
  </si>
  <si>
    <t>https://pitchbook.com/profiles/company/606456-91</t>
  </si>
  <si>
    <t>https://x.com/deepseek_ai</t>
  </si>
  <si>
    <t>service@deepseek.com</t>
  </si>
  <si>
    <t>2026-04-18 12:00:33.848103+00</t>
  </si>
  <si>
    <t>2026-05-25 03:10:40.216836+00</t>
  </si>
  <si>
    <t>palenca</t>
  </si>
  <si>
    <t>Palenca</t>
  </si>
  <si>
    <t>Palenca is a platform that verifies individuals' income for financial institutions to enable broader credit access.</t>
  </si>
  <si>
    <t>palenca.com</t>
  </si>
  <si>
    <t>https://pitchbook.com/profiles/company/471617-11</t>
  </si>
  <si>
    <t>2026-05-25 03:06:24.761688+00</t>
  </si>
  <si>
    <t>liveeo</t>
  </si>
  <si>
    <t>LiveEO</t>
  </si>
  <si>
    <t>LiveEO is a company that provides satellite-based monitoring and analytics for linear infrastructure such as pipelines, railways, and power lines.</t>
  </si>
  <si>
    <t>live-eo.com</t>
  </si>
  <si>
    <t>https://pitchbook.com/profiles/company/279738-73</t>
  </si>
  <si>
    <t>https://twitter.com/liveeo_space</t>
  </si>
  <si>
    <t>info@live-eo.com</t>
  </si>
  <si>
    <t>+49 162 3414693</t>
  </si>
  <si>
    <t>2026-05-25 02:56:25.813086+00</t>
  </si>
  <si>
    <t>fudi-protein</t>
  </si>
  <si>
    <t>Fudi Protein</t>
  </si>
  <si>
    <t>Fudi Protein is a company developing a proprietary process to extract RuBisCO protein from alfalfa at commercial scale.</t>
  </si>
  <si>
    <t>Madison, Wisconsin, United States, North America</t>
  </si>
  <si>
    <t>fudiprotein.com</t>
  </si>
  <si>
    <t>fudiprotein</t>
  </si>
  <si>
    <t>https://pitchbook.com/profiles/company/864641-89</t>
  </si>
  <si>
    <t>info@fudiingredients.com</t>
  </si>
  <si>
    <t>2026-05-25 02:54:49.649591+00</t>
  </si>
  <si>
    <t>atom-computing</t>
  </si>
  <si>
    <t>Atom Computing</t>
  </si>
  <si>
    <t>Atom Computing develops large-scale neutral-atom quantum computers using arrays of optically trapped neutral atoms.</t>
  </si>
  <si>
    <t>Berkeley, California, United States, North America</t>
  </si>
  <si>
    <t>atom-computing.com</t>
  </si>
  <si>
    <t>https://pitchbook.com/profiles/company/231917-41</t>
  </si>
  <si>
    <t>https://twitter.com/Atom_Computing</t>
  </si>
  <si>
    <t>2026-05-25 02:51:28.468807+00</t>
  </si>
  <si>
    <t>psiquantum</t>
  </si>
  <si>
    <t>PsiQuantum</t>
  </si>
  <si>
    <t>PsiQuantum is a photonic quantum computing company building fault-tolerant quantum computers using silicon photonics and semiconductor manufacturing technologies.</t>
  </si>
  <si>
    <t>psiquantum.com</t>
  </si>
  <si>
    <t>psiquantum-ltd</t>
  </si>
  <si>
    <t>https://pitchbook.com/profiles/company/235924-66</t>
  </si>
  <si>
    <t>https://x.com/psiquantum</t>
  </si>
  <si>
    <t>info@psiquantum.com</t>
  </si>
  <si>
    <t>+1 650 427 0904</t>
  </si>
  <si>
    <t>2026-05-25 02:25:11.998413+00</t>
  </si>
  <si>
    <t>sound-wave-innovation</t>
  </si>
  <si>
    <t>Sound Wave Innovation</t>
  </si>
  <si>
    <t>Sound Wave Innovation is a Japanese medical startup developing a minimally invasive Low-Intensity Pulsed Ultrasound (LIPUS) therapeutic platform, including the LIPUS-Brain device for early-stage Alzheimer‚Äôs disease.</t>
  </si>
  <si>
    <t>sw-innovation.com</t>
  </si>
  <si>
    <t>swinnovation</t>
  </si>
  <si>
    <t>https://pitchbook.com/profiles/company/489244-06</t>
  </si>
  <si>
    <t>info@sw-innovation.com</t>
  </si>
  <si>
    <t>2026-05-25 02:17:18.348008+00</t>
  </si>
  <si>
    <t>nuvolog</t>
  </si>
  <si>
    <t>Nuvolog</t>
  </si>
  <si>
    <t>Nuvolog is a Turkish logistics management platform providing end-to-end logistics management solutions through a single platform.</t>
  </si>
  <si>
    <t>nuvolog.com</t>
  </si>
  <si>
    <t>https://pitchbook.com/profiles/company/686039-50</t>
  </si>
  <si>
    <t>abdullah.cansu@nuvolog.com</t>
  </si>
  <si>
    <t>2026-05-25 02:11:48.494096+00</t>
  </si>
  <si>
    <t>dc-blox</t>
  </si>
  <si>
    <t>dcblox-inc</t>
  </si>
  <si>
    <t>DC BLOX</t>
  </si>
  <si>
    <t>DC BLOX is a digital infrastructure company that develops and operates hyperscale-ready data centers, cable landing stations, and a dark fiber network across the Southeastern United States.</t>
  </si>
  <si>
    <t>dcblox.com</t>
  </si>
  <si>
    <t>dcblox-inc-</t>
  </si>
  <si>
    <t>https://x.com/dcbloxinc</t>
  </si>
  <si>
    <t>Jeff.Uphues@dcblox.com</t>
  </si>
  <si>
    <t>877.590.1684</t>
  </si>
  <si>
    <t>2026-05-25 02:02:11.65565+00</t>
  </si>
  <si>
    <t>harken-sweets</t>
  </si>
  <si>
    <t>Harken Sweets</t>
  </si>
  <si>
    <t>Harken Sweets is a better-for-you chocolate brand that sweetens bars with whole-food dates to reduce sugar and add fiber.</t>
  </si>
  <si>
    <t>harkensweets.com</t>
  </si>
  <si>
    <t>harkensweets</t>
  </si>
  <si>
    <t>https://pitchbook.com/profiles/company/589093-93</t>
  </si>
  <si>
    <t>2026-05-24 23:34:18.560313+00</t>
  </si>
  <si>
    <t>extraordinarios</t>
  </si>
  <si>
    <t>Extraordinarios</t>
  </si>
  <si>
    <t>Extraordinarios is a Chilean HRTech startup that uses AI-driven behavioral analysis to evaluate soft skills and candidate potential.</t>
  </si>
  <si>
    <t>extraordinarioschile</t>
  </si>
  <si>
    <t>2026-05-24 23:34:18.426175+00</t>
  </si>
  <si>
    <t>aumet</t>
  </si>
  <si>
    <t>Aumet</t>
  </si>
  <si>
    <t>Aumet is a company that develops procurement and inventory management software for pharmacies, hospitals, and healthcare systems.</t>
  </si>
  <si>
    <t>aumet.com</t>
  </si>
  <si>
    <t>aumet-co-</t>
  </si>
  <si>
    <t>https://pitchbook.com/profiles/company/168334-03</t>
  </si>
  <si>
    <t>y.aqel@aumet.me</t>
  </si>
  <si>
    <t>1(650)944-9075</t>
  </si>
  <si>
    <t>2026-05-24 23:17:34.894243+00</t>
  </si>
  <si>
    <t>acuitymd</t>
  </si>
  <si>
    <t>acuity-md</t>
  </si>
  <si>
    <t>AcuityMD</t>
  </si>
  <si>
    <t>AcuityMD is an AI platform for MedTech that aggregates real-world healthcare data into a proprietary MedTech ontology to deliver commercial insights for medical device companies.</t>
  </si>
  <si>
    <t>acuitymd.com</t>
  </si>
  <si>
    <t>https://pitchbook.com/profiles/company/277288-21</t>
  </si>
  <si>
    <t>https://x.com/acuitymd</t>
  </si>
  <si>
    <t>info@acuitymd.com</t>
  </si>
  <si>
    <t>2026-05-24 23:17:34.893655+00</t>
  </si>
  <si>
    <t>hightouch</t>
  </si>
  <si>
    <t>hightouch-0e87</t>
  </si>
  <si>
    <t>Hightouch</t>
  </si>
  <si>
    <t>Hightouch is an AI marketing startup building agentic marketing tools and a marketing context layer.</t>
  </si>
  <si>
    <t>hightouch.com</t>
  </si>
  <si>
    <t>hightouchio</t>
  </si>
  <si>
    <t>https://pitchbook.com/profiles/company/268099-39</t>
  </si>
  <si>
    <t>https://x.com/HightouchData</t>
  </si>
  <si>
    <t>hello@hightouch.com</t>
  </si>
  <si>
    <t>+1 678 896 2554</t>
  </si>
  <si>
    <t>2026-05-24 23:17:34.893454+00</t>
  </si>
  <si>
    <t>sereact</t>
  </si>
  <si>
    <t>Sereact</t>
  </si>
  <si>
    <t>Sereact is a German robotics startup that develops AI-powered software enabling robots with general-purpose visual and manipulation capabilities.</t>
  </si>
  <si>
    <t>Stuttgart, Baden-Wurttemberg, Germany, Europe</t>
  </si>
  <si>
    <t>sereact.ai</t>
  </si>
  <si>
    <t>https://pitchbook.com/profiles/company/483769-90</t>
  </si>
  <si>
    <t>https://twitter.com/SereactAI</t>
  </si>
  <si>
    <t>contact@sereact.ai</t>
  </si>
  <si>
    <t>+49 711 90777712</t>
  </si>
  <si>
    <t>2026-05-24 23:17:34.893165+00</t>
  </si>
  <si>
    <t>sorted-wallet</t>
  </si>
  <si>
    <t>Sorted Wallet</t>
  </si>
  <si>
    <t>Sorted Wallet is a lightweight, non-custodial crypto wallet optimized for mobile devices and emerging markets.</t>
  </si>
  <si>
    <t>sorted.io</t>
  </si>
  <si>
    <t>sortedwallet</t>
  </si>
  <si>
    <t>https://pitchbook.com/profiles/company/615894-22</t>
  </si>
  <si>
    <t>legal@sortedwallet.com</t>
  </si>
  <si>
    <t>2026-05-24 23:17:34.889158+00</t>
  </si>
  <si>
    <t>conbo</t>
  </si>
  <si>
    <t>conboai</t>
  </si>
  <si>
    <t>Conbo</t>
  </si>
  <si>
    <t>Conbo is an Israeli SaaS company that uses AI and computer vision to turn existing CCTV systems into real-time operational visibility platforms for logistics facilities.</t>
  </si>
  <si>
    <t>Seattle, Washington, United States, North America</t>
  </si>
  <si>
    <t>conbo.ai</t>
  </si>
  <si>
    <t>conbo-io</t>
  </si>
  <si>
    <t>https://pitchbook.com/profiles/company/490660-39</t>
  </si>
  <si>
    <t>info@conbo.ai</t>
  </si>
  <si>
    <t>+1 (206) 970-8530</t>
  </si>
  <si>
    <t>2026-05-24 23:17:34.888355+00</t>
  </si>
  <si>
    <t>jaakko</t>
  </si>
  <si>
    <t>jaakko-com</t>
  </si>
  <si>
    <t>Jaakko</t>
  </si>
  <si>
    <t>Jaakko.com is a Helsinki-based proptech marketplace that connects prospective buyers with homeowners who haven‚Äôt formally listed their properties, using automated valuations, AI virtual staging, and anonymous matching to facilitate direct communication.</t>
  </si>
  <si>
    <t>jaakko.com</t>
  </si>
  <si>
    <t>https://pitchbook.com/profiles/company/719950-06</t>
  </si>
  <si>
    <t>https://x.com/jaakkocom</t>
  </si>
  <si>
    <t>jaakko@jaakko.com</t>
  </si>
  <si>
    <t>2026-04-13 23:01:50.352558+00</t>
  </si>
  <si>
    <t>2026-05-24 23:17:34.887196+00</t>
  </si>
  <si>
    <t>snabbit</t>
  </si>
  <si>
    <t>Snabbit</t>
  </si>
  <si>
    <t>Snabbit is an Indian on-demand home services marketplace that connects households with an all-female network of service workers for cleaning, laundry, dishwashing and small repairs.</t>
  </si>
  <si>
    <t>snabbit.com</t>
  </si>
  <si>
    <t>justsnabbit</t>
  </si>
  <si>
    <t>https://pitchbook.com/profiles/company/732186-46</t>
  </si>
  <si>
    <t>https://x.com/JustSnabbit</t>
  </si>
  <si>
    <t>2026-05-24 23:17:34.886106+00</t>
  </si>
  <si>
    <t>fig-security</t>
  </si>
  <si>
    <t>Fig Security</t>
  </si>
  <si>
    <t>Fig Security provides a platform that continuously tests and validates an enterprise‚Äôs detection-and-response stack to uncover silent failures across security operations.</t>
  </si>
  <si>
    <t>fig.security</t>
  </si>
  <si>
    <t>https://pitchbook.com/profiles/company/895977-91</t>
  </si>
  <si>
    <t>2026-03-03 15:00:38.272557+00</t>
  </si>
  <si>
    <t>2026-05-24 23:17:34.881269+00</t>
  </si>
  <si>
    <t>lighthouse-pharmaceuticals</t>
  </si>
  <si>
    <t>lighthouse-pharma</t>
  </si>
  <si>
    <t>Lighthouse Pharmaceuticals</t>
  </si>
  <si>
    <t>Lighthouse Pharmaceuticals is a clinical-stage biopharmaceutical company developing novel small-molecule therapies for neurodegenerative and inflammatory diseases.</t>
  </si>
  <si>
    <t>Novato, California, United States, North America</t>
  </si>
  <si>
    <t>lighthousepharma.com</t>
  </si>
  <si>
    <t>https://pitchbook.com/profiles/company/519083-47</t>
  </si>
  <si>
    <t>info@lighthousepharma.com</t>
  </si>
  <si>
    <t>2026-05-24 23:17:34.880736+00</t>
  </si>
  <si>
    <t>blitzy</t>
  </si>
  <si>
    <t>Blitzy</t>
  </si>
  <si>
    <t>Blitzy is an autonomous enterprise software development platform that autonomously completes months of software development and understands large-scale enterprise codebases.</t>
  </si>
  <si>
    <t>blitzy.com</t>
  </si>
  <si>
    <t>blitzyai</t>
  </si>
  <si>
    <t>https://pitchbook.com/profiles/company/633169-18</t>
  </si>
  <si>
    <t>https://x.com/blitzyai</t>
  </si>
  <si>
    <t>support@blitzy.com</t>
  </si>
  <si>
    <t>2026-05-24 23:17:34.877978+00</t>
  </si>
  <si>
    <t>zyg</t>
  </si>
  <si>
    <t>ZyG</t>
  </si>
  <si>
    <t>ZyG is an Operating System for eCommerce scale that uses agentic AI infrastructure to help entrepreneurs and DTC brands validate, scale, and finance growth.</t>
  </si>
  <si>
    <t>Herzliya, Tel Aviv, Israel, Asia</t>
  </si>
  <si>
    <t>zyg.com</t>
  </si>
  <si>
    <t>zyg-edge</t>
  </si>
  <si>
    <t>https://pitchbook.com/profiles/company/839626-03</t>
  </si>
  <si>
    <t>2026-05-24 23:17:34.877691+00</t>
  </si>
  <si>
    <t>callisto-vision</t>
  </si>
  <si>
    <t>Callisto Vision</t>
  </si>
  <si>
    <t>Callisto Vision is a developer of hardware and software solutions for product marking, serialization and quality control.</t>
  </si>
  <si>
    <t>callistovision.ru</t>
  </si>
  <si>
    <t>2026-04-29 19:00:37.414965+00</t>
  </si>
  <si>
    <t>2026-05-24 21:10:02.45157+00</t>
  </si>
  <si>
    <t>revbind</t>
  </si>
  <si>
    <t>RevBind</t>
  </si>
  <si>
    <t>RevBind is an insurance sales automation startup that sources leads through a proprietary marketplace, scores them with AI, and automates engagement and nurturing through to close.</t>
  </si>
  <si>
    <t>revbind.com</t>
  </si>
  <si>
    <t>2026-04-29 18:22:09.583383+00</t>
  </si>
  <si>
    <t>2026-05-24 20:15:02.634191+00</t>
  </si>
  <si>
    <t>dholakia-lab-grown-diamond</t>
  </si>
  <si>
    <t>Dholakia Lab Grown Diamond</t>
  </si>
  <si>
    <t>Dholakia Lab Grown Diamond is a vertically integrated lab-grown diamond manufacturer and jewellery retailer.</t>
  </si>
  <si>
    <t>dholakia.co</t>
  </si>
  <si>
    <t>dholakialabgrowndiamond</t>
  </si>
  <si>
    <t>2026-05-24 20:15:02.526056+00</t>
  </si>
  <si>
    <t>tribal</t>
  </si>
  <si>
    <t>Tribal</t>
  </si>
  <si>
    <t>Tribal is an enterprise-native AI platform provider developing context-aware AI agents for enterprise systems.</t>
  </si>
  <si>
    <t>gotribal.ai</t>
  </si>
  <si>
    <t>2026-05-24 19:12:42.949501+00</t>
  </si>
  <si>
    <t>aigentsphere</t>
  </si>
  <si>
    <t>Aigentsphere</t>
  </si>
  <si>
    <t>Aigentsphere is a company building a platform to manage AI agents for enterprises.</t>
  </si>
  <si>
    <t>aigentsphere.com</t>
  </si>
  <si>
    <t>2026-04-29 17:00:41.549467+00</t>
  </si>
  <si>
    <t>2026-05-24 19:12:42.879811+00</t>
  </si>
  <si>
    <t>clearpass</t>
  </si>
  <si>
    <t>ClearPass</t>
  </si>
  <si>
    <t>ClearPass is a startup that provides operational risk infrastructure that converts day-to-day operations into structured, real-time risk signals for businesses with physical-risk activities.</t>
  </si>
  <si>
    <t>clearpass.me</t>
  </si>
  <si>
    <t>clear-pass</t>
  </si>
  <si>
    <t>2026-05-20 18:00:42.509093+00</t>
  </si>
  <si>
    <t>2026-05-24 19:12:42.727825+00</t>
  </si>
  <si>
    <t>pursuit-1</t>
  </si>
  <si>
    <t>pursuit-12c2</t>
  </si>
  <si>
    <t>Pursuit</t>
  </si>
  <si>
    <t>Pursuit is a startup that helps companies find and win state, local, and education government contracts by crawling and analyzing public SLED data.</t>
  </si>
  <si>
    <t>pursuit.us</t>
  </si>
  <si>
    <t>pursuit-us</t>
  </si>
  <si>
    <t>https://pitchbook.com/profiles/company/541514-17</t>
  </si>
  <si>
    <t>https://x.com/PursuitGov</t>
  </si>
  <si>
    <t>hello@pursuit.us</t>
  </si>
  <si>
    <t>2026-05-24 19:12:42.375398+00</t>
  </si>
  <si>
    <t>general-analysis</t>
  </si>
  <si>
    <t>General Analysis</t>
  </si>
  <si>
    <t>General Analysis is an AI security company that helps enterprises deploy agentic AI safely through adversarial evaluation and defensive tooling.</t>
  </si>
  <si>
    <t>generalanalysis.com</t>
  </si>
  <si>
    <t>https://pitchbook.com/profiles/company/898851-70</t>
  </si>
  <si>
    <t>2026-04-29 14:00:43.838667+00</t>
  </si>
  <si>
    <t>2026-05-24 17:12:30.095846+00</t>
  </si>
  <si>
    <t>widelabs</t>
  </si>
  <si>
    <t>widelabs-ai</t>
  </si>
  <si>
    <t>WideLabs</t>
  </si>
  <si>
    <t>WideLabs is an ‚ÄúAI factory‚Äù that develops and deploys its own LLM (Amaz√¥nIA) and customized, infrastructure-backed AI solutions to provide technological sovereignty and expand across Latin America while raising a US$50M Series A.</t>
  </si>
  <si>
    <t>Porto Alegre, Rio Grande do Sul, Brazil, South America</t>
  </si>
  <si>
    <t>widelabs.com.br</t>
  </si>
  <si>
    <t>wide-labs</t>
  </si>
  <si>
    <t>https://pitchbook.com/profiles/company/740267-56</t>
  </si>
  <si>
    <t>contact@widelabsai.com</t>
  </si>
  <si>
    <t>(51) 9751-5100</t>
  </si>
  <si>
    <t>2026-05-24 17:12:30.029885+00</t>
  </si>
  <si>
    <t>trialcliniq</t>
  </si>
  <si>
    <t>TrialClinIQ</t>
  </si>
  <si>
    <t>TrialClinIQ is a digital health company that provides an AI-powered clinical trial recruitment platform to match trial protocols with real-world clinical and demographic data.</t>
  </si>
  <si>
    <t>trialcliniq.com</t>
  </si>
  <si>
    <t>https://pitchbook.com/profiles/company/906866-74</t>
  </si>
  <si>
    <t>2026-05-24 17:12:29.959936+00</t>
  </si>
  <si>
    <t>datamission-ai</t>
  </si>
  <si>
    <t>DataMission.ai</t>
  </si>
  <si>
    <t>DataMission.ai is an AI-native operating platform provider that integrates real-time data with municipal workflows for local governments.</t>
  </si>
  <si>
    <t>datamission.ai</t>
  </si>
  <si>
    <t>data-mission</t>
  </si>
  <si>
    <t>https://pitchbook.com/profiles/company/1360636-93</t>
  </si>
  <si>
    <t>2026-05-13 14:00:41.64943+00</t>
  </si>
  <si>
    <t>2026-05-24 17:12:29.889545+00</t>
  </si>
  <si>
    <t>kibu-1</t>
  </si>
  <si>
    <t>Kibu</t>
  </si>
  <si>
    <t>Kibu is a human network and app-based platform that enables individuals and organizations to verify and know exactly who they're interacting with.</t>
  </si>
  <si>
    <t>trustkibu.com</t>
  </si>
  <si>
    <t>trustkibu</t>
  </si>
  <si>
    <t>https://pitchbook.com/profiles/company/732122-11</t>
  </si>
  <si>
    <t>2026-04-29 15:00:37.622204+00</t>
  </si>
  <si>
    <t>2026-05-24 17:12:29.750621+00</t>
  </si>
  <si>
    <t>mentari-therapeutics</t>
  </si>
  <si>
    <t>Mentari Therapeutics</t>
  </si>
  <si>
    <t>Mentari Therapeutics is a migraine-focused biotechnology company developing antibody therapies targeting PACAP and dual CGRP‚ÄìPACAP pathways.</t>
  </si>
  <si>
    <t>mentaritx.com</t>
  </si>
  <si>
    <t>2026-05-24 17:12:29.679223+00</t>
  </si>
  <si>
    <t>poppy-2</t>
  </si>
  <si>
    <t>Poppy</t>
  </si>
  <si>
    <t>Poppy is a proactive AI assistant that combines calendar, email, messages and other sources into a single dashboard to surface relevant tasks, meetings and suggestions.</t>
  </si>
  <si>
    <t>getpoppy.app</t>
  </si>
  <si>
    <t>https://x.com/poppysimplified</t>
  </si>
  <si>
    <t>2026-05-24 17:12:29.341511+00</t>
  </si>
  <si>
    <t>udora</t>
  </si>
  <si>
    <t>Udora</t>
  </si>
  <si>
    <t>Udora is a global gifting marketplace that connects customers with local florists, confectioners and artisan makers across markets worldwide.</t>
  </si>
  <si>
    <t>udora.com</t>
  </si>
  <si>
    <t>udora-com</t>
  </si>
  <si>
    <t>2026-05-24 17:12:29.191015+00</t>
  </si>
  <si>
    <t>attaboy-labs</t>
  </si>
  <si>
    <t>Attaboy Labs</t>
  </si>
  <si>
    <t>Attaboy Labs is a wellness brand behind the clinically-dosed daily supplement Every Damn Day.</t>
  </si>
  <si>
    <t>attaboylabs.com</t>
  </si>
  <si>
    <t>attaboyoutpost</t>
  </si>
  <si>
    <t>2026-05-24 17:12:29.090498+00</t>
  </si>
  <si>
    <t>avant-genomics</t>
  </si>
  <si>
    <t>Avant Genomics</t>
  </si>
  <si>
    <t>Avant Genomics is a Charlottesville, Virginia‚Äìbased company developing Avant Source‚Ñ¢, a fully automated platform for liquid biopsy sample preparation that extracts cell-free DNA (cfDNA).</t>
  </si>
  <si>
    <t>avant-genomics.com</t>
  </si>
  <si>
    <t>avantgenomics</t>
  </si>
  <si>
    <t>https://pitchbook.com/profiles/company/551298-70</t>
  </si>
  <si>
    <t>2026-05-24 16:06:36.869556+00</t>
  </si>
  <si>
    <t>rrreefs</t>
  </si>
  <si>
    <t>Rrreefs</t>
  </si>
  <si>
    <t>Rrreefs develops modular 3D-printed clay reef systems and provides end-to-end coral reef regeneration services</t>
  </si>
  <si>
    <t>rrreefs.com</t>
  </si>
  <si>
    <t>https://pitchbook.com/profiles/company/517226-59</t>
  </si>
  <si>
    <t>info@rrreefs.com</t>
  </si>
  <si>
    <t>+41 0041767464908</t>
  </si>
  <si>
    <t>2026-05-24 16:06:36.336407+00</t>
  </si>
  <si>
    <t>qubertech</t>
  </si>
  <si>
    <t>qubertech-ltd</t>
  </si>
  <si>
    <t>QuberTech</t>
  </si>
  <si>
    <t>QuberTech is a UK biotechnology company developing sustainable natural rubber from specially engineered dandelions.</t>
  </si>
  <si>
    <t>Norwich, Norfolk, United Kingdom, Europe</t>
  </si>
  <si>
    <t>qubertech.uk</t>
  </si>
  <si>
    <t>info@qubertech.uk</t>
  </si>
  <si>
    <t>2026-05-24 15:08:49.449864+00</t>
  </si>
  <si>
    <t>actuate-energy</t>
  </si>
  <si>
    <t>Actuate Energy</t>
  </si>
  <si>
    <t>Actuate Energy is a battery energy storage system (BESS) investment and operating platform focused on European electricity markets.</t>
  </si>
  <si>
    <t>actuate.energy</t>
  </si>
  <si>
    <t>2026-05-24 15:08:49.376751+00</t>
  </si>
  <si>
    <t>local-boy-outfitters</t>
  </si>
  <si>
    <t>Local Boy Outfitters</t>
  </si>
  <si>
    <t>Local Boy Outfitters is a consumer apparel and lifestyle brand focused on outdoor enthusiasts and Southern culture.</t>
  </si>
  <si>
    <t>Columbia, South Carolina, United States, North America</t>
  </si>
  <si>
    <t>localboyoutfitters.com</t>
  </si>
  <si>
    <t>local-boy-outfitters-2013</t>
  </si>
  <si>
    <t>https://pitchbook.com/profiles/company/551204-02</t>
  </si>
  <si>
    <t>https://x.com/localboysc</t>
  </si>
  <si>
    <t>sales@localboyoutfitters.com</t>
  </si>
  <si>
    <t>+1 803 726 0144</t>
  </si>
  <si>
    <t>2026-05-24 15:08:49.067761+00</t>
  </si>
  <si>
    <t>five-id</t>
  </si>
  <si>
    <t>Five ID</t>
  </si>
  <si>
    <t>Five ID is a London-based startup that enables payments and customer actions via palm-recognition biometric credentials.</t>
  </si>
  <si>
    <t>five.id</t>
  </si>
  <si>
    <t>fiveid</t>
  </si>
  <si>
    <t>https://pitchbook.com/profiles/company/607979-35</t>
  </si>
  <si>
    <t>2026-05-24 14:17:35.94807+00</t>
  </si>
  <si>
    <t>vector-6</t>
  </si>
  <si>
    <t>Vector</t>
  </si>
  <si>
    <t>Vector is a contact-level advertising platform for B2B marketers that enables demand gen and ABM teams to build ad audiences by named buyers.</t>
  </si>
  <si>
    <t>vector.co</t>
  </si>
  <si>
    <t>getvector</t>
  </si>
  <si>
    <t>2026-05-13 12:00:37.444437+00</t>
  </si>
  <si>
    <t>2026-05-24 14:17:35.877824+00</t>
  </si>
  <si>
    <t>gyver</t>
  </si>
  <si>
    <t>Gyver</t>
  </si>
  <si>
    <t>Gyver is an Italian startup developing an AI-powered conversational hiring and workforce infrastructure platform for electricians and industrial employers.</t>
  </si>
  <si>
    <t>Brescia, Lombardia, Italy, Europe</t>
  </si>
  <si>
    <t>gyver.work</t>
  </si>
  <si>
    <t>gyverjob</t>
  </si>
  <si>
    <t>https://pitchbook.com/profiles/company/819139-78</t>
  </si>
  <si>
    <t>2026-05-24 14:17:35.55111+00</t>
  </si>
  <si>
    <t>designverse</t>
  </si>
  <si>
    <t>DesignVerse</t>
  </si>
  <si>
    <t>DesignVerse is a Bucharest-based enterprise software startup that builds AI-powered tools to modernise complex legacy systems and generate production-ready applications from existing design systems and documentation.</t>
  </si>
  <si>
    <t>designverse.ai</t>
  </si>
  <si>
    <t>designverseai</t>
  </si>
  <si>
    <t>https://pitchbook.com/profiles/company/752733-10</t>
  </si>
  <si>
    <t>https://x.com/designverseai</t>
  </si>
  <si>
    <t>2026-05-24 14:17:35.481709+00</t>
  </si>
  <si>
    <t>trecs</t>
  </si>
  <si>
    <t>TRecs</t>
  </si>
  <si>
    <t>TRecs is a Dubai-based company that provides an AI-driven digital platform for aircraft engine transition and lifecycle management.</t>
  </si>
  <si>
    <t>trecs.aero</t>
  </si>
  <si>
    <t>2026-05-24 14:17:35.413466+00</t>
  </si>
  <si>
    <t>instafix</t>
  </si>
  <si>
    <t>Instafix</t>
  </si>
  <si>
    <t>Instafix is a Gurugram-based startup that provides 30-minute doorstep smartphone repair services backed by a 12-month warranty.</t>
  </si>
  <si>
    <t>withinstafix.com</t>
  </si>
  <si>
    <t>withinstafix</t>
  </si>
  <si>
    <t>2026-05-24 14:17:35.156112+00</t>
  </si>
  <si>
    <t>jus-onco</t>
  </si>
  <si>
    <t>Jus‚Äô Onco</t>
  </si>
  <si>
    <t>Jus' Onco is a cancer-care company operating a Collaborative Cancer Care Network (C3N) that delivers diagnosis, chemotherapy, surgery and follow-up through efficient operations and shared clinics.</t>
  </si>
  <si>
    <t>jusonco.com</t>
  </si>
  <si>
    <t>jusonco</t>
  </si>
  <si>
    <t>care@jusonco.com</t>
  </si>
  <si>
    <t>+91 44 4777 1777</t>
  </si>
  <si>
    <t>2026-04-28 23:03:11.981057+00</t>
  </si>
  <si>
    <t>2026-05-24 14:17:34.830965+00</t>
  </si>
  <si>
    <t>perseptis</t>
  </si>
  <si>
    <t>perceptis-ai</t>
  </si>
  <si>
    <t>Perseptis</t>
  </si>
  <si>
    <t>Perseptis is an AI startup that generates business-quality presentations and commercial proposals in minutes.</t>
  </si>
  <si>
    <t>perceptis.ai</t>
  </si>
  <si>
    <t>https://pitchbook.com/profiles/company/617068-36</t>
  </si>
  <si>
    <t>2026-05-24 14:17:34.574616+00</t>
  </si>
  <si>
    <t>he-dian-ke-ji</t>
  </si>
  <si>
    <t>qingna-technology</t>
  </si>
  <si>
    <t>Á¶æÁîµÁßëÊäÄ</t>
  </si>
  <si>
    <t>ÈùíÈí†ÁßëÊäÄÊòØ‰∏ÄÂÆ∂‰ªé‰∫ãÈí†Á¶ªÂ≠êÁîµÊ±†ÂÖ®‰∫ß‰∏öÈìæÁ†îÂèë‰∏éÂà∂ÈÄ†ÁöÑÂÖ¨Âè∏„ÄÇ</t>
  </si>
  <si>
    <t>Huzhou, Zhejiang, China, Asia</t>
  </si>
  <si>
    <t>clouddream.net</t>
  </si>
  <si>
    <t>beijing-hedian-technology-co-ltd</t>
  </si>
  <si>
    <t>2026-03-27 23:02:39.976228+00</t>
  </si>
  <si>
    <t>2026-05-24 14:17:34.318917+00</t>
  </si>
  <si>
    <t>formas-ai</t>
  </si>
  <si>
    <t>FORMAS.AI</t>
  </si>
  <si>
    <t>FORMAS.AI is a Singapore AI design startup building an AI-native design platform for the architecture, engineering and construction (AEC) sector.</t>
  </si>
  <si>
    <t>formas.ai</t>
  </si>
  <si>
    <t>2026-05-24 14:17:34.063888+00</t>
  </si>
  <si>
    <t>feldspar</t>
  </si>
  <si>
    <t>feldspar-0613</t>
  </si>
  <si>
    <t>Feldspar</t>
  </si>
  <si>
    <t>Feldspar has developed a patent-pending, surface-integrated force measurement platform‚Äîusing a novel triangular force-plate architecture embedded in sports surfaces to capture real-time 3D ground reaction forces at scale for coaching, broadcasting and analytics.</t>
  </si>
  <si>
    <t>London, Ontario, Canada, North America</t>
  </si>
  <si>
    <t>feldsparsport.com</t>
  </si>
  <si>
    <t>feldsparsport</t>
  </si>
  <si>
    <t>https://pitchbook.com/profiles/company/608015-89</t>
  </si>
  <si>
    <t>2026-05-24 14:17:33.991525+00</t>
  </si>
  <si>
    <t>nivasa-finance</t>
  </si>
  <si>
    <t>Nivasa Finance</t>
  </si>
  <si>
    <t>Nivasa Finance is a secured lending startup building a distribution and fulfilment platform for affordable housing loans and loans against property in non-metro markets.</t>
  </si>
  <si>
    <t>nivasafinance.com</t>
  </si>
  <si>
    <t>2026-05-24 14:17:33.735704+00</t>
  </si>
  <si>
    <t>enixi</t>
  </si>
  <si>
    <t>enixi is an energy startup that provides app and software solutions enabling local renewable-energy sharing within neighborhood energy communities.</t>
  </si>
  <si>
    <t>enixi.io</t>
  </si>
  <si>
    <t>2026-05-24 14:17:33.666103+00</t>
  </si>
  <si>
    <t>sahamati</t>
  </si>
  <si>
    <t>digisahamati-foundation</t>
  </si>
  <si>
    <t>Sahamati</t>
  </si>
  <si>
    <t>non_profit</t>
  </si>
  <si>
    <t>Sahamati is a Bengaluru-based industry body that manages the RBI-regulated NBFC-Account Aggregator ecosystem and its data-sharing infrastructure between financial information providers and users.</t>
  </si>
  <si>
    <t>sahamati.org.in</t>
  </si>
  <si>
    <t>https://x.com/sahamati</t>
  </si>
  <si>
    <t>info@sahamati.org.in</t>
  </si>
  <si>
    <t>2026-05-24 14:17:33.597335+00</t>
  </si>
  <si>
    <t>elevify</t>
  </si>
  <si>
    <t>Elevify</t>
  </si>
  <si>
    <t>Elevify is an edtech platform that aggregates and organizes existing online educational content into structured courses.</t>
  </si>
  <si>
    <t>elevify.com</t>
  </si>
  <si>
    <t>https://pitchbook.com/profiles/company/544648-15</t>
  </si>
  <si>
    <t>2026-05-24 14:17:33.34198+00</t>
  </si>
  <si>
    <t>weitao-bio</t>
  </si>
  <si>
    <t>Weitao Bio</t>
  </si>
  <si>
    <t>Weitao Bio is a Shali Bio spin-off developing in vivo CAR-T therapies using T-LNP and mRNA technology.</t>
  </si>
  <si>
    <t>2026-05-24 14:17:33.275408+00</t>
  </si>
  <si>
    <t>smart-ai-connect</t>
  </si>
  <si>
    <t>Smart AI Connect</t>
  </si>
  <si>
    <t>Smart AI Connect is a Queensland cyber security startup building SuppliAssure, a continuous supplier security assurance platform.</t>
  </si>
  <si>
    <t>Southport, Queensland, Australia, Oceania</t>
  </si>
  <si>
    <t>smartaiconnect.com</t>
  </si>
  <si>
    <t>https://pitchbook.com/profiles/company/624131-11</t>
  </si>
  <si>
    <t>info@smartaiconnect.com</t>
  </si>
  <si>
    <t>+61 721 033 188</t>
  </si>
  <si>
    <t>2026-05-24 14:17:33.205544+00</t>
  </si>
  <si>
    <t>tavion</t>
  </si>
  <si>
    <t>Tavion</t>
  </si>
  <si>
    <t>Tavion is a Swedish energy company developing, owning and operating large-scale battery storage projects.</t>
  </si>
  <si>
    <t>tavion.se</t>
  </si>
  <si>
    <t>2026-05-24 14:17:33.135705+00</t>
  </si>
  <si>
    <t>tietai</t>
  </si>
  <si>
    <t>TietAI</t>
  </si>
  <si>
    <t>TietAI is a Spanish health-technology startup building Hydra, an AI layer designed to optimize hospital operations and clinical workflows.</t>
  </si>
  <si>
    <t>tiet.ai</t>
  </si>
  <si>
    <t>2026-05-24 14:17:33.063276+00</t>
  </si>
  <si>
    <t>artemis-3</t>
  </si>
  <si>
    <t>Artemis</t>
  </si>
  <si>
    <t>Artemis is a digital financial platform that integrates traditional banking (USD and CRC accounts with IBAN) and an integrated digital-asset wallet.</t>
  </si>
  <si>
    <t>2026-05-24 14:17:32.806651+00</t>
  </si>
  <si>
    <t>kacentric</t>
  </si>
  <si>
    <t>Kacentric</t>
  </si>
  <si>
    <t>Kacentric Optics is a deeptech company developing next-generation photonics test-and-measurement equipment.</t>
  </si>
  <si>
    <t>kacentric.com</t>
  </si>
  <si>
    <t>kacentric-optics</t>
  </si>
  <si>
    <t>2026-05-24 14:17:32.734866+00</t>
  </si>
  <si>
    <t>endlyz</t>
  </si>
  <si>
    <t>endlyz-therapeutics</t>
  </si>
  <si>
    <t>Endlyz</t>
  </si>
  <si>
    <t>Endlyz is a London-based biotech developing small-molecule programs that target endo-lysosomal pathways (notably ATP13A2 and ATP10B) to address neurodegenerative disease mechanisms.</t>
  </si>
  <si>
    <t>endlyz.com</t>
  </si>
  <si>
    <t>endlyztherapeutics</t>
  </si>
  <si>
    <t>https://pitchbook.com/profiles/company/470943-10</t>
  </si>
  <si>
    <t>2026-05-24 14:17:32.665901+00</t>
  </si>
  <si>
    <t>cellon</t>
  </si>
  <si>
    <t>Cellon</t>
  </si>
  <si>
    <t>Cellon is an AI memory solutions startup developing Memory.inc, a memory layer that links data across chats, documents, code, and email to improve AI context and responses.</t>
  </si>
  <si>
    <t>2026-05-24 14:17:32.415274+00</t>
  </si>
  <si>
    <t>fusionap</t>
  </si>
  <si>
    <t>FusionAP</t>
  </si>
  <si>
    <t>FusionAP is a Malaysia-based outsourced semiconductor assembly and test (OSAT) company developing advanced 2.5D and 3D packaging technologies.</t>
  </si>
  <si>
    <t>2026-05-24 14:17:32.347193+00</t>
  </si>
  <si>
    <t>rk-solutions</t>
  </si>
  <si>
    <t>rk-solutions-427c</t>
  </si>
  <si>
    <t>RK Solutions</t>
  </si>
  <si>
    <t>RK Solutions is a Gernika-based technology company that provides software solutions for small and medium-sized businesses and self-employed professionals.</t>
  </si>
  <si>
    <t>Guernica, Pais Vasco, Spain, Europe</t>
  </si>
  <si>
    <t>rksolutions.es</t>
  </si>
  <si>
    <t>rksolutions-es</t>
  </si>
  <si>
    <t>621 41 13 29</t>
  </si>
  <si>
    <t>2026-05-24 14:17:32.276289+00</t>
  </si>
  <si>
    <t>searchdog</t>
  </si>
  <si>
    <t>SearchDog</t>
  </si>
  <si>
    <t>SearchDog is a startup that uses AI to analyze large-scale documents and industrial drawings.</t>
  </si>
  <si>
    <t>2026-05-24 14:17:32.206782+00</t>
  </si>
  <si>
    <t>novio</t>
  </si>
  <si>
    <t>Novio</t>
  </si>
  <si>
    <t>Novio is a fintech startup that issues fixed-deposit-backed RuPay credit cards to users without formal credit histories.</t>
  </si>
  <si>
    <t>novio.in</t>
  </si>
  <si>
    <t>2026-05-24 14:17:32.135507+00</t>
  </si>
  <si>
    <t>check-inn</t>
  </si>
  <si>
    <t>checkinn</t>
  </si>
  <si>
    <t>CheckInn</t>
  </si>
  <si>
    <t>Check Inn is a Tokyo-based hospitality management software startup that provides an all-in-one platform integrating site controller, property management system and direct booking functions.</t>
  </si>
  <si>
    <t>checkinn.jp</t>
  </si>
  <si>
    <t>https://pitchbook.com/profiles/company/534969-10</t>
  </si>
  <si>
    <t>2026-05-24 14:17:31.876454+00</t>
  </si>
  <si>
    <t>pillar-3</t>
  </si>
  <si>
    <t>pillar-50bf</t>
  </si>
  <si>
    <t>Pillar</t>
  </si>
  <si>
    <t>Pillar is an Italian construction technology startup building an AI-powered operating system to modernize construction operations and financial management.</t>
  </si>
  <si>
    <t>Milano, Lombardia, Italy, Europe</t>
  </si>
  <si>
    <t>pillar.it</t>
  </si>
  <si>
    <t>wearepillar</t>
  </si>
  <si>
    <t>https://pitchbook.com/profiles/company/763120-36</t>
  </si>
  <si>
    <t>info@pillar.it</t>
  </si>
  <si>
    <t>2025-09-23 12:30:25.533694+00</t>
  </si>
  <si>
    <t>2026-05-24 14:17:31.61756+00</t>
  </si>
  <si>
    <t>visionary</t>
  </si>
  <si>
    <t>visionary-1c02</t>
  </si>
  <si>
    <t>Visionary</t>
  </si>
  <si>
    <t>Visionary is a startup developing PRISM, a spatial intelligence data operating system that automates processing and structuring of unstructured spatial data for autonomous driving and mobility.</t>
  </si>
  <si>
    <t>visionary.run</t>
  </si>
  <si>
    <t>visionary-run</t>
  </si>
  <si>
    <t>2026-05-24 14:17:31.556279+00</t>
  </si>
  <si>
    <t>dacc</t>
  </si>
  <si>
    <t>DACC</t>
  </si>
  <si>
    <t>DACC (Digital Asset Clearing Center) provides Clearing-as-a-Service to financial institutions.</t>
  </si>
  <si>
    <t>dacc.hk</t>
  </si>
  <si>
    <t>digital-asset-clearing-center</t>
  </si>
  <si>
    <t>2026-05-24 14:17:31.476348+00</t>
  </si>
  <si>
    <t>triple-bio</t>
  </si>
  <si>
    <t>Triple.bio</t>
  </si>
  <si>
    <t>Triple.bio is a biotech company developing RumeNRG, a solution aimed at improving sustainability and profitability in cattle farming.</t>
  </si>
  <si>
    <t>triple.bio</t>
  </si>
  <si>
    <t>2026-05-24 13:15:28.699304+00</t>
  </si>
  <si>
    <t>lucius</t>
  </si>
  <si>
    <t>lucius-ai-731c</t>
  </si>
  <si>
    <t>Lucius</t>
  </si>
  <si>
    <t>Lucius builds an "Organizational Context Layer" that learns business decisions from team chat apps to turn conversations into a callable knowledge corpus.</t>
  </si>
  <si>
    <t>luciusai.com</t>
  </si>
  <si>
    <t>hirelucius</t>
  </si>
  <si>
    <t>zhaohe@uselucius.com</t>
  </si>
  <si>
    <t>2026-05-20 05:00:32.250679+00</t>
  </si>
  <si>
    <t>2026-05-24 13:15:28.366924+00</t>
  </si>
  <si>
    <t>modernpath</t>
  </si>
  <si>
    <t>ModernPath</t>
  </si>
  <si>
    <t>ModernPath is an AI-native platform that helps enterprise software teams develop new capabilities and modernize complex systems.</t>
  </si>
  <si>
    <t>modernpath.ai</t>
  </si>
  <si>
    <t>2026-04-24 00:29:59.491102+00</t>
  </si>
  <si>
    <t>2026-05-24 13:03:56.160964+00</t>
  </si>
  <si>
    <t>two-dice</t>
  </si>
  <si>
    <t>Two Dice</t>
  </si>
  <si>
    <t>Two Dice is a live entertainment and media company creating scalable, IP-driven experience franchises across sports, music and culture.</t>
  </si>
  <si>
    <t>Las Vegas, Nevada, United States, North America</t>
  </si>
  <si>
    <t>twodice.com</t>
  </si>
  <si>
    <t>2026-05-24 12:09:57.041976+00</t>
  </si>
  <si>
    <t>eds</t>
  </si>
  <si>
    <t>EDS</t>
  </si>
  <si>
    <t>EDS (Elevage Durable Services) is a Dardilly-based company that offers bovine leasing (Bovicash) and manages herds while working directly with cattle breeders.</t>
  </si>
  <si>
    <t>https://pitchbook.com/profiles/company/1392560-92</t>
  </si>
  <si>
    <t>2026-05-24 11:28:10.07884+00</t>
  </si>
  <si>
    <t>midnight-wave</t>
  </si>
  <si>
    <t>Midnight Wave</t>
  </si>
  <si>
    <t>Midnight Wave is an entertainment company that creates music intellectual property and operates an independent media marketing network.</t>
  </si>
  <si>
    <t>midnightwave.kr</t>
  </si>
  <si>
    <t>https://pitchbook.com/profiles/company/1164837-43</t>
  </si>
  <si>
    <t>2026-05-24 11:28:09.765131+00</t>
  </si>
  <si>
    <t>swishx</t>
  </si>
  <si>
    <t>SwishX</t>
  </si>
  <si>
    <t>SwishX is an Agentic AI startup that provides an AI platform to automate commercial operations for pharmaceutical, medtech, and life sciences companies.</t>
  </si>
  <si>
    <t>swishx.com</t>
  </si>
  <si>
    <t>2026-05-24 11:28:09.632809+00</t>
  </si>
  <si>
    <t>aeromuse</t>
  </si>
  <si>
    <t>Aeromuse</t>
  </si>
  <si>
    <t>Aeromuse is a company that develops and provides HUD SONiC, a pilot recruitment platform connecting pilots and airlines.</t>
  </si>
  <si>
    <t>aero-muse.com</t>
  </si>
  <si>
    <t>https://pitchbook.com/profiles/company/1392589-99</t>
  </si>
  <si>
    <t>2026-05-24 11:28:09.564976+00</t>
  </si>
  <si>
    <t>spinlab-studio</t>
  </si>
  <si>
    <t>Spinlab Studio</t>
  </si>
  <si>
    <t>Spinlab Studio is a no-code iGaming platform offering white-label solutions that combine payments, gaming content, safer gambling tools, KYC, and compliance.</t>
  </si>
  <si>
    <t>spinlab.studio</t>
  </si>
  <si>
    <t>https://pitchbook.com/profiles/company/1390356-55</t>
  </si>
  <si>
    <t>2026-05-24 11:28:09.316737+00</t>
  </si>
  <si>
    <t>eos-x-space</t>
  </si>
  <si>
    <t>EOS-X Space</t>
  </si>
  <si>
    <t>EOS X Space is a Sevilla-origin aerospace company, headquartered in the United States, developing dual-use aerospace systems and AI-based data solutions.</t>
  </si>
  <si>
    <t>Camarma De Esteruelas, Madrid, Spain, Europe</t>
  </si>
  <si>
    <t>eosxspace.com</t>
  </si>
  <si>
    <t>eos-x-spaceship-company</t>
  </si>
  <si>
    <t>https://pitchbook.com/profiles/company/484263-37</t>
  </si>
  <si>
    <t>https://x.com/eosxspace</t>
  </si>
  <si>
    <t>contact@eoxspace.com</t>
  </si>
  <si>
    <t>2026-05-24 11:28:09.248468+00</t>
  </si>
  <si>
    <t>strc</t>
  </si>
  <si>
    <t>STRC</t>
  </si>
  <si>
    <t>STRC is Michael Saylor's bitcoin acquisition vehicle that raises capital to buy Bitcoin.</t>
  </si>
  <si>
    <t>strategy.com</t>
  </si>
  <si>
    <t>2026-05-24 11:28:09.1809+00</t>
  </si>
  <si>
    <t>odd-meter</t>
  </si>
  <si>
    <t>Odd Meter</t>
  </si>
  <si>
    <t>Odd Meter is an independent game studio best known for the narrative-driven adventure game INDIKA.</t>
  </si>
  <si>
    <t>odd-meter.com</t>
  </si>
  <si>
    <t>2026-05-24 11:28:09.112954+00</t>
  </si>
  <si>
    <t>lavella</t>
  </si>
  <si>
    <t>Lavella</t>
  </si>
  <si>
    <t>Lavella is a sustainable detergent startup that makes single-sheet detergent products combining detergent, softener, and fragrance that dissolve in machine wash cycles.</t>
  </si>
  <si>
    <t>lavella.pro</t>
  </si>
  <si>
    <t>2026-05-24 11:28:09.046291+00</t>
  </si>
  <si>
    <t>mimecure</t>
  </si>
  <si>
    <t>MimeCure</t>
  </si>
  <si>
    <t>MimeCure is a Dutch biotech developing an inhaled regenerative drug (MC002) intended to repair lung tissue in chronic fibrotic lung diseases.</t>
  </si>
  <si>
    <t>mimecure.com</t>
  </si>
  <si>
    <t>https://pitchbook.com/profiles/company/894915-55</t>
  </si>
  <si>
    <t>2026-05-24 11:28:08.979406+00</t>
  </si>
  <si>
    <t>coher-sense</t>
  </si>
  <si>
    <t>Coher Sense</t>
  </si>
  <si>
    <t>Coher Sense UG is a L√ºbeck-based photonics technology company developing compact optical sensing solutions using interferometric detection.</t>
  </si>
  <si>
    <t>cohersense.de</t>
  </si>
  <si>
    <t>https://pitchbook.com/profiles/company/503518-60</t>
  </si>
  <si>
    <t>2026-05-24 11:28:08.91197+00</t>
  </si>
  <si>
    <t>annavana</t>
  </si>
  <si>
    <t>Annavana</t>
  </si>
  <si>
    <t>Annavana is a modern Indian pantry brand selling shelf-stable meal-builder spice blends direct-to-consumer.</t>
  </si>
  <si>
    <t>annavana.com</t>
  </si>
  <si>
    <t>2026-05-24 11:28:08.845035+00</t>
  </si>
  <si>
    <t>guzco</t>
  </si>
  <si>
    <t>Guzco</t>
  </si>
  <si>
    <t>Guzco is a Dutch company that provides fraud detection and claim management for e-commerce.</t>
  </si>
  <si>
    <t>guzco.ai</t>
  </si>
  <si>
    <t>2026-05-24 11:28:08.778465+00</t>
  </si>
  <si>
    <t>trajektory</t>
  </si>
  <si>
    <t>Trajektory</t>
  </si>
  <si>
    <t>Trajektory is a Chicago-based sports-tech company that builds technology to help sports organizations manage and measure sponsorship deals.</t>
  </si>
  <si>
    <t>Chicago, Illinois, United States, North America</t>
  </si>
  <si>
    <t>trajektory.com</t>
  </si>
  <si>
    <t>https://pitchbook.com/profiles/company/501916-60</t>
  </si>
  <si>
    <t>hello@trajektory.com</t>
  </si>
  <si>
    <t>2026-05-24 11:28:07.657327+00</t>
  </si>
  <si>
    <t>overwatch-ai</t>
  </si>
  <si>
    <t>Overwatch AI</t>
  </si>
  <si>
    <t>Overwatch AI is an aviation operations platform that consolidates operational data and documentation to help pilots and airline crews access critical flight information via natural language queries.</t>
  </si>
  <si>
    <t>overwatch-ai.com</t>
  </si>
  <si>
    <t>https://pitchbook.com/profiles/company/732176-47</t>
  </si>
  <si>
    <t>hello@overwatch-ai.com</t>
  </si>
  <si>
    <t>2026-05-24 11:28:06.548277+00</t>
  </si>
  <si>
    <t>oorja-bio</t>
  </si>
  <si>
    <t>Oorja Bio</t>
  </si>
  <si>
    <t>Oorja Bio is a clinical-stage biotechnology company developing therapies for idiopathic pulmonary fibrosis (IPF) and other fibrotic and cardiopulmonary diseases.</t>
  </si>
  <si>
    <t>oorjabio.com</t>
  </si>
  <si>
    <t>https://pitchbook.com/profiles/company/1274657-41</t>
  </si>
  <si>
    <t>2026-05-24 11:28:05.959791+00</t>
  </si>
  <si>
    <t>amphiform</t>
  </si>
  <si>
    <t>Amphiform</t>
  </si>
  <si>
    <t>Amphiform is a deep tech company building a new generation of nano-catalyst energy materials for high‚Äìpower-density fuel cells.</t>
  </si>
  <si>
    <t>amphiform.com</t>
  </si>
  <si>
    <t>https://pitchbook.com/profiles/company/1395906-67</t>
  </si>
  <si>
    <t>2026-05-24 11:28:05.891744+00</t>
  </si>
  <si>
    <t>oppam</t>
  </si>
  <si>
    <t>oppam-me</t>
  </si>
  <si>
    <t>Oppam</t>
  </si>
  <si>
    <t>Oppam is an online 24/7 therapy platform that connects users to therapists in regional languages such as Malayalam and Tamil.</t>
  </si>
  <si>
    <t>Kozhikode, Kerala, India, Asia</t>
  </si>
  <si>
    <t>oppam.me</t>
  </si>
  <si>
    <t>https://pitchbook.com/profiles/company/1234155-43</t>
  </si>
  <si>
    <t>help@oppam.me</t>
  </si>
  <si>
    <t>2025-12-17 02:39:09.100316+00</t>
  </si>
  <si>
    <t>2026-05-24 11:28:05.640937+00</t>
  </si>
  <si>
    <t>eterno</t>
  </si>
  <si>
    <t>ETERNO</t>
  </si>
  <si>
    <t>ETERNO is a Berlin-based HealthTech company building ETERNO Cloud, a cloud-native operating system that connects medical data, workflows, devices and AI applications for ambulatory care.</t>
  </si>
  <si>
    <t>eternogroup</t>
  </si>
  <si>
    <t>https://pitchbook.com/profiles/company/489782-98</t>
  </si>
  <si>
    <t>2026-05-24 11:28:05.574028+00</t>
  </si>
  <si>
    <t>yust</t>
  </si>
  <si>
    <t>yust-group</t>
  </si>
  <si>
    <t>YUST</t>
  </si>
  <si>
    <t>YUST is a Belgian hotel group operating hybrid flex-living properties that combine hotel rooms, long-stay units, hostel rooms, restaurants/bars and event spaces.</t>
  </si>
  <si>
    <t>yust.com</t>
  </si>
  <si>
    <t>yust-housing</t>
  </si>
  <si>
    <t>https://pitchbook.com/profiles/company/433914-22</t>
  </si>
  <si>
    <t>antwerp@yust.be</t>
  </si>
  <si>
    <t>+32 3 302 30 20</t>
  </si>
  <si>
    <t>2026-05-24 11:28:05.324171+00</t>
  </si>
  <si>
    <t>energiv</t>
  </si>
  <si>
    <t>Energ‚ÄôiV</t>
  </si>
  <si>
    <t>Energ‚ÄôiV is a local producer of renewable energy based in Ille-et-Vilaine.</t>
  </si>
  <si>
    <t>sde35.fr</t>
  </si>
  <si>
    <t>https://pitchbook.com/profiles/company/600409-99</t>
  </si>
  <si>
    <t>2026-05-24 11:28:05.257505+00</t>
  </si>
  <si>
    <t>whale-leap-dynamics</t>
  </si>
  <si>
    <t>Whale Leap Dynamics</t>
  </si>
  <si>
    <t>Whale Leap Dynamics builds scenario-oriented, ready-to-deploy Robo Labor through a closed-loop ‚Äúdata + model + end execution‚Äù software-hardware solution.</t>
  </si>
  <si>
    <t>2026-05-24 11:28:05.010085+00</t>
  </si>
  <si>
    <t>pearnet</t>
  </si>
  <si>
    <t>PearNet</t>
  </si>
  <si>
    <t>PearNet is a research project developing a network of body-worn sensors and AI to predict and monitor epileptic seizures.</t>
  </si>
  <si>
    <t>2026-05-24 11:28:04.945254+00</t>
  </si>
  <si>
    <t>inretrn</t>
  </si>
  <si>
    <t>Inretrn</t>
  </si>
  <si>
    <t>Inretrn is a platform that automates operational decisions for returns, exchanges, claims and repairs across the after-purchase process.</t>
  </si>
  <si>
    <t>inretrn.com</t>
  </si>
  <si>
    <t>https://pitchbook.com/profiles/company/268604-56</t>
  </si>
  <si>
    <t>2026-05-24 11:28:04.809499+00</t>
  </si>
  <si>
    <t>primomanda</t>
  </si>
  <si>
    <t>Primomanda</t>
  </si>
  <si>
    <t>Primomanda is a French startup that facilitates real-estate transactions and markets a paid-mandate transaction model.</t>
  </si>
  <si>
    <t>primomanda.fr</t>
  </si>
  <si>
    <t>2026-05-24 11:28:04.740399+00</t>
  </si>
  <si>
    <t>bytrap</t>
  </si>
  <si>
    <t>Bytrap</t>
  </si>
  <si>
    <t>Bytrap is a brand commerce company that develops and sells beauty and lifestyle brands including hair care brand Relive, skincare brand Saekdong Seoul, and lifestyle brand Barner.</t>
  </si>
  <si>
    <t>2026-05-24 11:28:04.543404+00</t>
  </si>
  <si>
    <t>avian</t>
  </si>
  <si>
    <t>AVIAN</t>
  </si>
  <si>
    <t>AVIAN is a Zurich-based industrial AI company that builds always-on thermal monitoring systems to predict and prevent industrial fires and equipment failures.</t>
  </si>
  <si>
    <t>avian-iot.com</t>
  </si>
  <si>
    <t>avian-iot</t>
  </si>
  <si>
    <t>2026-05-24 11:28:04.475879+00</t>
  </si>
  <si>
    <t>biodiv</t>
  </si>
  <si>
    <t>Biodiv</t>
  </si>
  <si>
    <t>Biodiv is a digital platform that helps organizations quantify their impacts on biodiversity using metrics like CLIMB.</t>
  </si>
  <si>
    <t>biodiv.se</t>
  </si>
  <si>
    <t>biodiv-com</t>
  </si>
  <si>
    <t>2026-05-24 11:28:04.408876+00</t>
  </si>
  <si>
    <t>terrabyte-ai</t>
  </si>
  <si>
    <t>TerraByte AI</t>
  </si>
  <si>
    <t>TerraByte AI builds an "Earth Search Engine" that uses self-supervised foundation models to analyze satellite imagery and answer natural-language geospatial queries.</t>
  </si>
  <si>
    <t>2026-05-24 11:28:04.343712+00</t>
  </si>
  <si>
    <t>orbit-korea</t>
  </si>
  <si>
    <t>Orbit Korea</t>
  </si>
  <si>
    <t>Orbit Korea is an AI consulting company that leverages an AI-native engine to provide data-driven market-entry and growth strategies for consumer brands expanding overseas.</t>
  </si>
  <si>
    <t>2026-05-24 11:28:04.278638+00</t>
  </si>
  <si>
    <t>big-fiber</t>
  </si>
  <si>
    <t>BIG Fiber</t>
  </si>
  <si>
    <t>BIG Fiber is a metro dark fiber provider that builds and operates high-capacity underground fiber networks for data centers, hyperscalers and enterprises.</t>
  </si>
  <si>
    <t>bigfiber.com</t>
  </si>
  <si>
    <t>https://pitchbook.com/profiles/company/399180-25</t>
  </si>
  <si>
    <t>2026-05-24 11:28:04.210483+00</t>
  </si>
  <si>
    <t>skykraft-1</t>
  </si>
  <si>
    <t>SkyKraft</t>
  </si>
  <si>
    <t>SkyKraft is a joint venture between SkyNRG and Skellefte√• Kraft developing an electro sustainable aviation fuel (eSAF) production facility.</t>
  </si>
  <si>
    <t>skekraft.se</t>
  </si>
  <si>
    <t>2026-05-24 11:28:04.140114+00</t>
  </si>
  <si>
    <t>stardust-1</t>
  </si>
  <si>
    <t>Stardust</t>
  </si>
  <si>
    <t>Stardust is an Israeli startup developing solar radiation management technology that deploys safe reflective particles and supporting systems to reduce incoming solar radiation.</t>
  </si>
  <si>
    <t>stardust-srt</t>
  </si>
  <si>
    <t>2026-05-24 11:28:04.07203+00</t>
  </si>
  <si>
    <t>c3alabs</t>
  </si>
  <si>
    <t>C3aLabs</t>
  </si>
  <si>
    <t>C3aLabs is an AI company building agentic AI platforms for wealth management and financial services.</t>
  </si>
  <si>
    <t>Berkeley Heights, New Jersey, United States, North America</t>
  </si>
  <si>
    <t>c3alabs.com</t>
  </si>
  <si>
    <t>2026-05-24 11:28:04.011157+00</t>
  </si>
  <si>
    <t>clave-1</t>
  </si>
  <si>
    <t>Clave</t>
  </si>
  <si>
    <t>Clave is an AI-native operations platform that connects restaurant operator software (like Toast, NCR, Square, Restaurant365, 7shifts, and Olo) into a single intelligent layer of AI agents for franchise operators.</t>
  </si>
  <si>
    <t>tryclave.ai</t>
  </si>
  <si>
    <t>clave-ai</t>
  </si>
  <si>
    <t>https://pitchbook.com/profiles/company/1360991-35</t>
  </si>
  <si>
    <t>2026-05-24 11:28:03.44396+00</t>
  </si>
  <si>
    <t>champ-ai</t>
  </si>
  <si>
    <t>champai</t>
  </si>
  <si>
    <t>Champ AI</t>
  </si>
  <si>
    <t>Champ AI builds AI agents that automate manual operational and administrative work for teams.</t>
  </si>
  <si>
    <t>champ.ai</t>
  </si>
  <si>
    <t>champ-ai-hq</t>
  </si>
  <si>
    <t>2026-05-24 11:28:03.37124+00</t>
  </si>
  <si>
    <t>judgment-labs</t>
  </si>
  <si>
    <t>Judgment Labs</t>
  </si>
  <si>
    <t>Judgment Labs is an infrastructure platform that helps AI-native teams turn production data into continuously improving agents.</t>
  </si>
  <si>
    <t>judgmentlabs.ai</t>
  </si>
  <si>
    <t>judgmentlabs</t>
  </si>
  <si>
    <t>https://pitchbook.com/profiles/company/753071-59</t>
  </si>
  <si>
    <t>2026-05-24 11:28:03.291493+00</t>
  </si>
  <si>
    <t>splight</t>
  </si>
  <si>
    <t>Splight</t>
  </si>
  <si>
    <t>Splight‚Äôs ML-powered Dynamic Congestion Management platform ingests real-time grid data to turn batteries, data centers and DERs into fast-responding assets that increase transmission capacity and reduce curtailment.</t>
  </si>
  <si>
    <t>splight-ai.com</t>
  </si>
  <si>
    <t>https://pitchbook.com/profiles/company/507352-06</t>
  </si>
  <si>
    <t>2026-05-24 11:09:03.755613+00</t>
  </si>
  <si>
    <t>starlab-space-1</t>
  </si>
  <si>
    <t>starlab-space</t>
  </si>
  <si>
    <t>Starlab Space</t>
  </si>
  <si>
    <t>Starlab Space is a U.S.-led joint venture developing a next-generation, AI-enabled commercial space station.</t>
  </si>
  <si>
    <t>Webster, Texas, United States, North America</t>
  </si>
  <si>
    <t>voyagertechnologies.com</t>
  </si>
  <si>
    <t>https://pitchbook.com/profiles/company/532941-31</t>
  </si>
  <si>
    <t>https://x.com/Starlab_Space</t>
  </si>
  <si>
    <t>2025-10-11 14:34:11.16665+00</t>
  </si>
  <si>
    <t>2026-05-24 11:09:03.749777+00</t>
  </si>
  <si>
    <t>pterodynamics</t>
  </si>
  <si>
    <t>PteroDynamics</t>
  </si>
  <si>
    <t>PteroDynamics is an innovation leader in autonomous vertical takeoff and landing (VTOL) unmanned aircraft systems developing the patented Transwing platform.</t>
  </si>
  <si>
    <t>Colorado Springs, Colorado, United States, North America</t>
  </si>
  <si>
    <t>pterodynamics.com</t>
  </si>
  <si>
    <t>https://pitchbook.com/profiles/company/453523-42</t>
  </si>
  <si>
    <t>https://twitter.com/pterodynamics</t>
  </si>
  <si>
    <t>info@pterodynamics.com</t>
  </si>
  <si>
    <t>+1 857 576 2188</t>
  </si>
  <si>
    <t>2026-05-24 11:09:03.741473+00</t>
  </si>
  <si>
    <t>ainovis</t>
  </si>
  <si>
    <t>Ainovis</t>
  </si>
  <si>
    <t>Ainovis is a Spanish healthtech startup developing generative AI solutions for medical imaging diagnostics, including the Ainovis One reporting system and virtual assistant Carolina.</t>
  </si>
  <si>
    <t>ainovis.health</t>
  </si>
  <si>
    <t>https://pitchbook.com/profiles/company/641389-42</t>
  </si>
  <si>
    <t>2026-05-23 23:34:33.14987+00</t>
  </si>
  <si>
    <t>forus</t>
  </si>
  <si>
    <t>Forus</t>
  </si>
  <si>
    <t>Forus is an AI-powered network that connects doctors, pharmacies, payers, and biopharma to bring new science to patients.</t>
  </si>
  <si>
    <t>forus.com</t>
  </si>
  <si>
    <t>forushq</t>
  </si>
  <si>
    <t>2026-05-12 20:00:50.182064+00</t>
  </si>
  <si>
    <t>2026-05-23 23:34:33.055866+00</t>
  </si>
  <si>
    <t>dio-inteligencia</t>
  </si>
  <si>
    <t>dio-intelig%c3%aancia-odontol%c3%b3gica</t>
  </si>
  <si>
    <t>DIO Intelig√™ncia</t>
  </si>
  <si>
    <t>DIO Intelig√™ncia is a Brazilian healthtech that uses AI to analyze dental radiographs.</t>
  </si>
  <si>
    <t>diointeligencia.com.br</t>
  </si>
  <si>
    <t>https://pitchbook.com/profiles/company/512872-48</t>
  </si>
  <si>
    <t>info@diointeligencia.com.br</t>
  </si>
  <si>
    <t>+55 11 93716 4358</t>
  </si>
  <si>
    <t>2026-05-23 23:34:32.471358+00</t>
  </si>
  <si>
    <t>sizeprop</t>
  </si>
  <si>
    <t>SizeProp</t>
  </si>
  <si>
    <t>SizeProp is a crypto-native proprietary trading firm that funds traders to trade perpetuals without depositing their own capital.</t>
  </si>
  <si>
    <t>sizeprop.com</t>
  </si>
  <si>
    <t>2026-05-23 23:34:31.864789+00</t>
  </si>
  <si>
    <t>fload</t>
  </si>
  <si>
    <t>Fload</t>
  </si>
  <si>
    <t>Fload is an Agent OS for apps that uses a network of autonomous agents to continuously optimize app growth and operations.</t>
  </si>
  <si>
    <t>fload.com</t>
  </si>
  <si>
    <t>floadapps</t>
  </si>
  <si>
    <t>2026-05-23 23:34:31.76128+00</t>
  </si>
  <si>
    <t>roadrunner-1</t>
  </si>
  <si>
    <t>Roadrunner</t>
  </si>
  <si>
    <t>Roadrunner is an AI-native revenue infrastructure company rebuilding quote-to-cash with a PQA (Prompt, Quote, Approve) platform</t>
  </si>
  <si>
    <t>roadrunner.ai</t>
  </si>
  <si>
    <t>roadrunner-ai-inc</t>
  </si>
  <si>
    <t>https://pitchbook.com/profiles/company/1167588-37</t>
  </si>
  <si>
    <t>2026-05-23 23:34:31.627234+00</t>
  </si>
  <si>
    <t>nectar-social</t>
  </si>
  <si>
    <t>Nectar Social</t>
  </si>
  <si>
    <t>Nectar Social is an agentic social operating system that unifies social intelligence, community management, creator workflows, and conversational commerce for brands.</t>
  </si>
  <si>
    <t>nectarsocial.com</t>
  </si>
  <si>
    <t>nectar-ai</t>
  </si>
  <si>
    <t>https://pitchbook.com/profiles/company/538850-89</t>
  </si>
  <si>
    <t>https://x.com/nectarsocialai</t>
  </si>
  <si>
    <t>2026-05-23 23:17:30.899131+00</t>
  </si>
  <si>
    <t>milltech</t>
  </si>
  <si>
    <t>MillTech</t>
  </si>
  <si>
    <t>MillTech provides next-generation FX hedging and cash investment solutions for fund managers and corporates.</t>
  </si>
  <si>
    <t>milltech.com</t>
  </si>
  <si>
    <t>milltechfx</t>
  </si>
  <si>
    <t>https://pitchbook.com/profiles/company/442348-57</t>
  </si>
  <si>
    <t>2026-04-08 15:00:40.288453+00</t>
  </si>
  <si>
    <t>2026-05-23 23:17:30.895753+00</t>
  </si>
  <si>
    <t>Recursive Superintelligence</t>
  </si>
  <si>
    <t>Recursive Superintelligence is  an AI company developing systems intended to autonomously identify weaknesses and iteratively self-improve (recursive self-improvement).</t>
  </si>
  <si>
    <t>2026-04-18 23:02:25.143787+00</t>
  </si>
  <si>
    <t>2026-05-23 23:17:30.895555+00</t>
  </si>
  <si>
    <t>algorithmiq</t>
  </si>
  <si>
    <t>Algorithmiq</t>
  </si>
  <si>
    <t>Algorithmiq is a Helsinki-based quantum software company building quantum-classical workflows for chemical simulation and drug discovery.</t>
  </si>
  <si>
    <t>Turku, Western Finland, Finland, Europe</t>
  </si>
  <si>
    <t>algorithmiq.fi</t>
  </si>
  <si>
    <t>https://pitchbook.com/profiles/company/462014-92</t>
  </si>
  <si>
    <t>info@algorithmiq.fi</t>
  </si>
  <si>
    <t>358 503663922</t>
  </si>
  <si>
    <t>2026-05-23 23:17:30.895356+00</t>
  </si>
  <si>
    <t>solfin</t>
  </si>
  <si>
    <t>solfin-a610</t>
  </si>
  <si>
    <t>Solfin</t>
  </si>
  <si>
    <t>Solfin is a digital-first green NBFC that provides financing for rooftop solar, commercial and industrial renewable energy projects, solar supply chains and distributed clean energy solutions.</t>
  </si>
  <si>
    <t>solfin.co.in</t>
  </si>
  <si>
    <t>solfin-sustainable-financing</t>
  </si>
  <si>
    <t>https://pitchbook.com/profiles/company/607226-23</t>
  </si>
  <si>
    <t>https://x.com/solfin_india</t>
  </si>
  <si>
    <t>support@solfin.co.in</t>
  </si>
  <si>
    <t>+91 9599446877</t>
  </si>
  <si>
    <t>2026-05-23 23:17:30.892928+00</t>
  </si>
  <si>
    <t>eyst-technology</t>
  </si>
  <si>
    <t>eyst</t>
  </si>
  <si>
    <t>Eyst Technology</t>
  </si>
  <si>
    <t>EYST Technology is a Tunisian insurtech that provides a SaaS platform enabling insurers to issue instantly funded virtual bank cards for claims payouts.</t>
  </si>
  <si>
    <t>Puteaux, Ile-de-France, France, Europe</t>
  </si>
  <si>
    <t>eyst.io</t>
  </si>
  <si>
    <t>https://pitchbook.com/profiles/company/513307-00</t>
  </si>
  <si>
    <t>2025-10-20 23:38:22.163514+00</t>
  </si>
  <si>
    <t>2026-05-23 23:17:30.891953+00</t>
  </si>
  <si>
    <t>rasa-legal</t>
  </si>
  <si>
    <t>Rasa Legal</t>
  </si>
  <si>
    <t>Rasa Legal is a legal technology company that helps eligible individuals clear criminal records through streamlined sealing and expungement services.</t>
  </si>
  <si>
    <t>South Salt Lake, Utah, United States, North America</t>
  </si>
  <si>
    <t>rasa-legal.com</t>
  </si>
  <si>
    <t>https://pitchbook.com/profiles/company/522438-04</t>
  </si>
  <si>
    <t>https://x.com/RasaLegal</t>
  </si>
  <si>
    <t>tech-help@rasa-legal.com</t>
  </si>
  <si>
    <t>+1 866 521 0178</t>
  </si>
  <si>
    <t>2026-05-23 23:17:30.890973+00</t>
  </si>
  <si>
    <t>sindhuja-microcredit</t>
  </si>
  <si>
    <t>Sindhuja Microcredit</t>
  </si>
  <si>
    <t>Sindhuja Microcredit is a Noida-based NBFC-MFI that provides loans and financial services to self-employed women entrepreneurs, traders, shopkeepers, and farmers in rural and semi-urban markets.</t>
  </si>
  <si>
    <t>Ghaziabad, Uttar Pradesh, India, Asia</t>
  </si>
  <si>
    <t>sindhujamicrocredit.com</t>
  </si>
  <si>
    <t>https://pitchbook.com/profiles/company/267013-00</t>
  </si>
  <si>
    <t>info@sindhujamicrocredit.com</t>
  </si>
  <si>
    <t>2026-05-23 23:17:30.89017+00</t>
  </si>
  <si>
    <t>nscale</t>
  </si>
  <si>
    <t>Nscale</t>
  </si>
  <si>
    <t>Nscale is a British AI infrastructure company that vertically integrates renewable energy-powered data centers with orchestration software to deliver large-scale GPU compute for enterprises.</t>
  </si>
  <si>
    <t>nscale.com</t>
  </si>
  <si>
    <t>nscale-cloud</t>
  </si>
  <si>
    <t>https://pitchbook.com/profiles/company/593750-17</t>
  </si>
  <si>
    <t>https://x.com/nscale_cloud</t>
  </si>
  <si>
    <t>admin@nscale.tech</t>
  </si>
  <si>
    <t>2025-07-20 12:27:05.991247+00</t>
  </si>
  <si>
    <t>2026-05-23 23:17:30.889108+00</t>
  </si>
  <si>
    <t>plaquetec</t>
  </si>
  <si>
    <t>PlaqueTec</t>
  </si>
  <si>
    <t>PlaqueTec is a medtech company developing intracoronary liquid biopsy technology and a high-resolution cardiovascular data platform, BioCarta, that aggregates intracoronary proteomic and clinical data.</t>
  </si>
  <si>
    <t>Cambridge, Cambridgeshire, United Kingdom, Europe</t>
  </si>
  <si>
    <t>plaquetec.com</t>
  </si>
  <si>
    <t>plaquetec-ltd-</t>
  </si>
  <si>
    <t>https://pitchbook.com/profiles/company/62503-12</t>
  </si>
  <si>
    <t>https://twitter.com/PlaqueTec_UK</t>
  </si>
  <si>
    <t>nfo@PlaqueTec.com</t>
  </si>
  <si>
    <t>+44 1223 597900</t>
  </si>
  <si>
    <t>2026-05-23 23:17:30.885817+00</t>
  </si>
  <si>
    <t>lunar-outpost</t>
  </si>
  <si>
    <t>Lunar Outpost</t>
  </si>
  <si>
    <t>Lunar Outpost develops advanced robotic mobility systems, autonomous platforms, and in-space infrastructure for lunar and orbital operations.</t>
  </si>
  <si>
    <t>Golden, Colorado, United States, North America</t>
  </si>
  <si>
    <t>lunaroutpost.com</t>
  </si>
  <si>
    <t>lunaroutpost</t>
  </si>
  <si>
    <t>https://twitter.com/LunarOutpostInc</t>
  </si>
  <si>
    <t>info@lunaroutpost.com</t>
  </si>
  <si>
    <t>720-612-4915</t>
  </si>
  <si>
    <t>2026-05-23 23:17:30.885072+00</t>
  </si>
  <si>
    <t>life-bioscience</t>
  </si>
  <si>
    <t>life-biosciences</t>
  </si>
  <si>
    <t>Life BioScience</t>
  </si>
  <si>
    <t>Life Biosciences develops cellular rejuvenation therapies targeting diseases of aging using a Partial Epigenetic Reprogramming platform.</t>
  </si>
  <si>
    <t>lifebiosciences.com</t>
  </si>
  <si>
    <t>lifebiosciences</t>
  </si>
  <si>
    <t>https://pitchbook.com/profiles/company/227380-15</t>
  </si>
  <si>
    <t>https://x.com/lifebiosciences</t>
  </si>
  <si>
    <t>info@lifebiosciences.com</t>
  </si>
  <si>
    <t>2026-05-23 23:17:30.883448+00</t>
  </si>
  <si>
    <t>jia</t>
  </si>
  <si>
    <t>jia-88c6</t>
  </si>
  <si>
    <t>Jia</t>
  </si>
  <si>
    <t>Jia is a fintech startup that provides Philippine SMEs with an integrated financial operating system offering working capital, corporate banking, and cash flow instruments.</t>
  </si>
  <si>
    <t>jia.xyz</t>
  </si>
  <si>
    <t>jiaxyz</t>
  </si>
  <si>
    <t>https://pitchbook.com/profiles/company/502626-25</t>
  </si>
  <si>
    <t>https://x.com/jia_defi</t>
  </si>
  <si>
    <t>hello@jia.xyz</t>
  </si>
  <si>
    <t>2026-05-23 23:17:30.883041+00</t>
  </si>
  <si>
    <t>neeman's</t>
  </si>
  <si>
    <t>neemans</t>
  </si>
  <si>
    <t>Neemans</t>
  </si>
  <si>
    <t>Neeman‚Äôs is a Hyderabad-based sustainable footwear brand that makes eco-friendly, comfortable shoes sold primarily through a direct-to-consumer model.</t>
  </si>
  <si>
    <t>Hyderabad, Andhra Pradesh, India, Asia</t>
  </si>
  <si>
    <t>neemans.com</t>
  </si>
  <si>
    <t>https://pitchbook.com/profiles/company/234807-76</t>
  </si>
  <si>
    <t>https://x.com/NeemansOfficial</t>
  </si>
  <si>
    <t>tchhabra@neemans.com</t>
  </si>
  <si>
    <t>2026-05-23 23:17:30.882197+00</t>
  </si>
  <si>
    <t>linexa</t>
  </si>
  <si>
    <t>Linexa</t>
  </si>
  <si>
    <t>Linexa is a Munich-based startup developing an AI platform that decodes legacy industrial automation systems to provide visibility and enable autonomous production optimisation.</t>
  </si>
  <si>
    <t>linexa.io</t>
  </si>
  <si>
    <t>2026-04-22 12:00:36.347237+00</t>
  </si>
  <si>
    <t>2026-05-23 23:17:30.881983+00</t>
  </si>
  <si>
    <t>dview-technologies</t>
  </si>
  <si>
    <t>dview</t>
  </si>
  <si>
    <t>Dview Technologies</t>
  </si>
  <si>
    <t>Dview Technologies is an AI-powered analytics solutions provider offering an Agentic-AI platform and unified knowledge architecture for enterprise intelligence.</t>
  </si>
  <si>
    <t>dview.io</t>
  </si>
  <si>
    <t>dview-io</t>
  </si>
  <si>
    <t>https://x.com/DviewTech</t>
  </si>
  <si>
    <t>+1 (760) 284-8140</t>
  </si>
  <si>
    <t>2026-04-28 18:00:44.596728+00</t>
  </si>
  <si>
    <t>2026-05-23 20:16:37.571561+00</t>
  </si>
  <si>
    <t>stitcherai</t>
  </si>
  <si>
    <t>StitcherAI</t>
  </si>
  <si>
    <t>StitcherAI is a US-based IT finance intelligence platform that aims to improve completeness, accuracy and business context of IT finance data.</t>
  </si>
  <si>
    <t>Redmond, Washington, United States, North America</t>
  </si>
  <si>
    <t>stitcher.ai</t>
  </si>
  <si>
    <t>https://pitchbook.com/profiles/company/895556-53</t>
  </si>
  <si>
    <t>info@stitcher.ai</t>
  </si>
  <si>
    <t>2026-05-23 20:16:37.511276+00</t>
  </si>
  <si>
    <t>Âæ©ËûçÁîüÁâ©</t>
  </si>
  <si>
    <t>furong-biotech</t>
  </si>
  <si>
    <t>Forlong Biotechnology</t>
  </si>
  <si>
    <t>Forlong Biotechnology is a clinical-stage biotech developing engineered cytokine therapies and interleukin-based biologics for oncology.</t>
  </si>
  <si>
    <t>forlongbiotech.com</t>
  </si>
  <si>
    <t>https://pitchbook.com/profiles/company/519515-38</t>
  </si>
  <si>
    <t>popeji@dingtalk.com</t>
  </si>
  <si>
    <t>180-9669-9344</t>
  </si>
  <si>
    <t>2026-05-23 20:16:36.930808+00</t>
  </si>
  <si>
    <t>bloodaxe-studios</t>
  </si>
  <si>
    <t>Bloodaxe Studios</t>
  </si>
  <si>
    <t>Bloodaxe Studios is a vertically integrated studio developing and producing original live-action action, adventure, fantasy and science fiction feature films and related IP.</t>
  </si>
  <si>
    <t>bloodaxestudios.com</t>
  </si>
  <si>
    <t>2026-05-23 20:16:36.854724+00</t>
  </si>
  <si>
    <t>viewz</t>
  </si>
  <si>
    <t>Viewz</t>
  </si>
  <si>
    <t>Viewz is a startup rebuilding finance infrastructure.</t>
  </si>
  <si>
    <t>viewz.co</t>
  </si>
  <si>
    <t>https://pitchbook.com/profiles/company/597730-60</t>
  </si>
  <si>
    <t>2026-05-23 20:16:36.779478+00</t>
  </si>
  <si>
    <t>ledgerbee</t>
  </si>
  <si>
    <t>LedgerBee</t>
  </si>
  <si>
    <t>LedgerBee is an AI-powered financial platform that consolidates invoicing, subscription management, payroll and accounting data and offers an AI assistant for workflows and reporting.</t>
  </si>
  <si>
    <t>Herning, Midtjylland, Denmark, Europe</t>
  </si>
  <si>
    <t>ledgerbee.com</t>
  </si>
  <si>
    <t>info@ledgerbee.com</t>
  </si>
  <si>
    <t>2026-05-23 20:16:36.495749+00</t>
  </si>
  <si>
    <t>wenti-labs</t>
  </si>
  <si>
    <t>Wenti Labs</t>
  </si>
  <si>
    <t>Wenti Labs builds an agentic operating system that turns messy, unstructured construction site data into real-time operational intelligence for construction teams.</t>
  </si>
  <si>
    <t>wentilabs.com</t>
  </si>
  <si>
    <t>wentilabs</t>
  </si>
  <si>
    <t>https://pitchbook.com/profiles/company/589622-95</t>
  </si>
  <si>
    <t>rockstar@wentilabs.com</t>
  </si>
  <si>
    <t>2026-05-05 17:00:38.812569+00</t>
  </si>
  <si>
    <t>2026-05-23 18:18:37.393146+00</t>
  </si>
  <si>
    <t>athelas</t>
  </si>
  <si>
    <t>Athelas</t>
  </si>
  <si>
    <t>Athelas is an AI-first healthcare software company providing revenue-cycle management, billing, documentation, and ambient AI tools for outpatient practices.</t>
  </si>
  <si>
    <t>athelas.com</t>
  </si>
  <si>
    <t>https://pitchbook.com/profiles/company/168553-90</t>
  </si>
  <si>
    <t>https://twitter.com/athelasdevice</t>
  </si>
  <si>
    <t>contact@athelas.com</t>
  </si>
  <si>
    <t>+(833) 524-1318</t>
  </si>
  <si>
    <t>2026-05-23 18:18:35.283827+00</t>
  </si>
  <si>
    <t>walktru-ai</t>
  </si>
  <si>
    <t>Walktru.ai</t>
  </si>
  <si>
    <t>Walktru.ai builds AI-native infrastructure to support SOX and audit compliance for public companies.</t>
  </si>
  <si>
    <t>walktru.ai</t>
  </si>
  <si>
    <t>walktru</t>
  </si>
  <si>
    <t>2026-05-23 18:18:34.492047+00</t>
  </si>
  <si>
    <t>tomoland</t>
  </si>
  <si>
    <t>Tomoland</t>
  </si>
  <si>
    <t>Tomoland is a Web3 user-generated content (UGC) platform that aims to combine creator content with blockchain-based ownership.</t>
  </si>
  <si>
    <t>2026-05-23 18:18:33.835495+00</t>
  </si>
  <si>
    <t>rely-1</t>
  </si>
  <si>
    <t>Rely</t>
  </si>
  <si>
    <t>Rely is an AI-powered transaction automation platform for multifamily real estate that classifies and analyzes deal documents to produce structured, source-linked outputs.</t>
  </si>
  <si>
    <t>tryrely.ai</t>
  </si>
  <si>
    <t>rely-intelligence</t>
  </si>
  <si>
    <t>https://pitchbook.com/profiles/company/865929-70</t>
  </si>
  <si>
    <t>2026-05-23 18:18:33.763308+00</t>
  </si>
  <si>
    <t>b-sides</t>
  </si>
  <si>
    <t>B-SIDES</t>
  </si>
  <si>
    <t>B-SIDES is a snack brand that makes crunchy, flavor-packed puffs using upcycled ingredients.</t>
  </si>
  <si>
    <t>enjoybsides.com</t>
  </si>
  <si>
    <t>enjoybsides</t>
  </si>
  <si>
    <t>https://pitchbook.com/profiles/company/608941-00</t>
  </si>
  <si>
    <t>2026-05-23 18:18:33.620477+00</t>
  </si>
  <si>
    <t>clone-labs</t>
  </si>
  <si>
    <t>Clone Labs</t>
  </si>
  <si>
    <t>Clone Labs is a San Francisco- and Seongnam-based AI startup that builds a User Model to learn usage patterns and predict and execute next user actions.</t>
  </si>
  <si>
    <t>clone.is</t>
  </si>
  <si>
    <t>cloneisyou</t>
  </si>
  <si>
    <t>2026-05-23 18:18:33.54686+00</t>
  </si>
  <si>
    <t>nuva-digital</t>
  </si>
  <si>
    <t>NUVA Digital</t>
  </si>
  <si>
    <t>Nuva Digital is the software developer behind Nuva Finance, a marketplace for tokenized real-world assets that enables users to earn yield via vaults issuing nvAsset tokens.</t>
  </si>
  <si>
    <t>nuva.finance</t>
  </si>
  <si>
    <t>2026-04-28 16:00:48.092199+00</t>
  </si>
  <si>
    <t>2026-05-23 18:18:33.47581+00</t>
  </si>
  <si>
    <t>manifest-os</t>
  </si>
  <si>
    <t>Manifest OS</t>
  </si>
  <si>
    <t>Manifest OS is an AI company that powers a network of AI-native, outcomes-based law firms operating under the Manifest Law brand.</t>
  </si>
  <si>
    <t>manifestos.com</t>
  </si>
  <si>
    <t>manifest-o-s</t>
  </si>
  <si>
    <t>2026-04-28 15:00:39.176032+00</t>
  </si>
  <si>
    <t>2026-05-23 18:18:33.298652+00</t>
  </si>
  <si>
    <t>ctc-global-solutions</t>
  </si>
  <si>
    <t>CTC Global Solutions</t>
  </si>
  <si>
    <t>CTC Global Solutions develops BIDBridgeVen, an operating system that helps small- and mid-size businesses navigate government contracting.</t>
  </si>
  <si>
    <t>Indianapolis, Indiana, United States, North America</t>
  </si>
  <si>
    <t>ctcglobalsolutions.com</t>
  </si>
  <si>
    <t>ctcglobalsolutions</t>
  </si>
  <si>
    <t>https://pitchbook.com/profiles/company/741145-60</t>
  </si>
  <si>
    <t>info@ctcglobalsolutions.com</t>
  </si>
  <si>
    <t>(423) 749-4418</t>
  </si>
  <si>
    <t>2026-05-23 18:05:15.039636+00</t>
  </si>
  <si>
    <t>memed-1</t>
  </si>
  <si>
    <t>memed-2</t>
  </si>
  <si>
    <t>Memed</t>
  </si>
  <si>
    <t>Memed is a Brazilian healthtech that provides electronic prescription software and clinical infrastructure.</t>
  </si>
  <si>
    <t>memed.com.br</t>
  </si>
  <si>
    <t>memed</t>
  </si>
  <si>
    <t>https://pitchbook.com/profiles/company/107942-05</t>
  </si>
  <si>
    <t>contato@memed.com.br</t>
  </si>
  <si>
    <t>2026-05-23 18:05:15.034216+00</t>
  </si>
  <si>
    <t>mentat</t>
  </si>
  <si>
    <t>Mentat</t>
  </si>
  <si>
    <t>Mentat is a legaltech startup building AI-powered document-drafting tools for lawyers.</t>
  </si>
  <si>
    <t>mentat.co.kr</t>
  </si>
  <si>
    <t>2026-05-12 14:00:39.208112+00</t>
  </si>
  <si>
    <t>2026-05-23 17:22:48.016844+00</t>
  </si>
  <si>
    <t>coworked</t>
  </si>
  <si>
    <t>Coworked</t>
  </si>
  <si>
    <t>Coworked is an enterprise AI company that builds Harmony, an agentic AI project manager that autonomously handles coordination and administrative project work.</t>
  </si>
  <si>
    <t>coworked.ai</t>
  </si>
  <si>
    <t>coworkedai</t>
  </si>
  <si>
    <t>https://pitchbook.com/profiles/company/287980-66</t>
  </si>
  <si>
    <t>https://x.com/coworkedai</t>
  </si>
  <si>
    <t>start@coworked.ai</t>
  </si>
  <si>
    <t>2026-05-23 17:22:47.939404+00</t>
  </si>
  <si>
    <t>marloo</t>
  </si>
  <si>
    <t>Marloo</t>
  </si>
  <si>
    <t>Marloo is an AI partner for financial advisers that automates administrative tasks and surfaces client opportunities.</t>
  </si>
  <si>
    <t>gomarloo.com</t>
  </si>
  <si>
    <t>gomarloo</t>
  </si>
  <si>
    <t>https://pitchbook.com/profiles/company/756465-40</t>
  </si>
  <si>
    <t>team@gomarloo.com</t>
  </si>
  <si>
    <t>2026-05-23 15:23:20.552973+00</t>
  </si>
  <si>
    <t>white-circle</t>
  </si>
  <si>
    <t>white-circle-ac82</t>
  </si>
  <si>
    <t>White Circle</t>
  </si>
  <si>
    <t>White Circle is an enterprise AI governance company that helps organisations monitor, protect and improve AI systems in real time.</t>
  </si>
  <si>
    <t>whitecircle.ai</t>
  </si>
  <si>
    <t>whitecircle</t>
  </si>
  <si>
    <t>https://pitchbook.com/profiles/company/898563-25</t>
  </si>
  <si>
    <t>https://x.com/whitecircle</t>
  </si>
  <si>
    <t>hello@whitecircle.ai</t>
  </si>
  <si>
    <t>2026-05-23 15:23:20.296591+00</t>
  </si>
  <si>
    <t>mirai-1</t>
  </si>
  <si>
    <t>Mirai</t>
  </si>
  <si>
    <t>Mirai is a University of Milan spin-off developing responsible AI tools that use formal methods to verify algorithmic fairness.</t>
  </si>
  <si>
    <t>mirai.systems</t>
  </si>
  <si>
    <t>mirai-milanoresponsibleai</t>
  </si>
  <si>
    <t>2026-05-23 15:23:20.047258+00</t>
  </si>
  <si>
    <t>gabster</t>
  </si>
  <si>
    <t>Gabster</t>
  </si>
  <si>
    <t>Gabster is an AI-powered enterprise platform that unifies customer communication management, workflow automation, and business intelligence.</t>
  </si>
  <si>
    <t>gabster.ai</t>
  </si>
  <si>
    <t>sales@gabster.ai</t>
  </si>
  <si>
    <t>+966 53 933 9268</t>
  </si>
  <si>
    <t>2026-05-10 23:03:22.016259+00</t>
  </si>
  <si>
    <t>2026-05-23 15:23:19.976497+00</t>
  </si>
  <si>
    <t>entropy-technology</t>
  </si>
  <si>
    <t>Entropy Technology</t>
  </si>
  <si>
    <t>Entropy Technology is a Shenzhen-based startup developing Flyer O1, a home flying robot positioned as an autonomous "intelligent butler."</t>
  </si>
  <si>
    <t>entropytech.co</t>
  </si>
  <si>
    <t>entropytechnology</t>
  </si>
  <si>
    <t>2026-05-23 15:23:19.908248+00</t>
  </si>
  <si>
    <t>twoway</t>
  </si>
  <si>
    <t>TwoWay</t>
  </si>
  <si>
    <t>TwoWay builds a platform that parses broker messages and trader communications to deliver real-time market intelligence for institutional trading desks.</t>
  </si>
  <si>
    <t>twoway.finance</t>
  </si>
  <si>
    <t>twoway-finance</t>
  </si>
  <si>
    <t>https://pitchbook.com/profiles/company/607138-75</t>
  </si>
  <si>
    <t>2026-05-23 15:23:19.839961+00</t>
  </si>
  <si>
    <t>regulate</t>
  </si>
  <si>
    <t>Regulate</t>
  </si>
  <si>
    <t>Regulate is a breathwork platform that uses wearables and workday context to deliver personalised stress, focus and resilience support for teams.</t>
  </si>
  <si>
    <t>regulate.me</t>
  </si>
  <si>
    <t>regulateme</t>
  </si>
  <si>
    <t>2026-05-23 15:23:19.703731+00</t>
  </si>
  <si>
    <t>elephant</t>
  </si>
  <si>
    <t>Elephant</t>
  </si>
  <si>
    <t>Elephant is a company that uses AI to convert internal knowledge into interactive micro-learning and delivers it contextually via a mobile app and AI assistant</t>
  </si>
  <si>
    <t>elephantcompany.com</t>
  </si>
  <si>
    <t>https://pitchbook.com/profiles/company/541541-71</t>
  </si>
  <si>
    <t>2026-05-23 15:23:19.63468+00</t>
  </si>
  <si>
    <t>ditto-6</t>
  </si>
  <si>
    <t>Ditto</t>
  </si>
  <si>
    <t>Ditto is a Dutch healthtech startup that provides an AI-powered patient communication app which generates summaries of medical consultations and documents.</t>
  </si>
  <si>
    <t>dittocare.com</t>
  </si>
  <si>
    <t>2026-05-23 15:23:19.381412+00</t>
  </si>
  <si>
    <t>dessn</t>
  </si>
  <si>
    <t>Dessn</t>
  </si>
  <si>
    <t>Dessn is a production-focused design tool that runs teams' existing codebases in the cloud so designers can iterate directly in production.</t>
  </si>
  <si>
    <t>dessn.ai</t>
  </si>
  <si>
    <t>https://pitchbook.com/profiles/company/807675-49</t>
  </si>
  <si>
    <t>2026-05-23 15:23:19.312578+00</t>
  </si>
  <si>
    <t>rsa-cross-border</t>
  </si>
  <si>
    <t>RSA Cross Border</t>
  </si>
  <si>
    <t>RSA Cross Border is a spin-out from RSA Global building modular cross-border logistics infrastructure with AI-powered orchestration.</t>
  </si>
  <si>
    <t>rsaxb.com</t>
  </si>
  <si>
    <t>rsaxb</t>
  </si>
  <si>
    <t>2026-05-23 15:23:19.242889+00</t>
  </si>
  <si>
    <t>miscausas-io</t>
  </si>
  <si>
    <t>MisCausas.io</t>
  </si>
  <si>
    <t>MisCausas.io is a LegalTech platform that connects users with lawyers via an AI-powered matching engine and manages civil, labor and family legal procedures.</t>
  </si>
  <si>
    <t>miscausas.io</t>
  </si>
  <si>
    <t>2026-05-23 15:23:19.174616+00</t>
  </si>
  <si>
    <t>holmes</t>
  </si>
  <si>
    <t>Holmes</t>
  </si>
  <si>
    <t>Holmes is an autonomous quality assurance (QA) platform that continuously learns product workflows and generates and updates tests for software teams.</t>
  </si>
  <si>
    <t>useholmes.com</t>
  </si>
  <si>
    <t>2026-05-23 15:23:19.107661+00</t>
  </si>
  <si>
    <t>tolemy-bio</t>
  </si>
  <si>
    <t>Tolemy Bio</t>
  </si>
  <si>
    <t>Tolemy Bio is a biotech startup developing Orbit, an AI-enabled cell biology platform to help researchers interpret, optimise, and manage experimental workflows.</t>
  </si>
  <si>
    <t>tolemy.bio</t>
  </si>
  <si>
    <t>https://pitchbook.com/profiles/company/615501-91</t>
  </si>
  <si>
    <t>alex@tolemy.bio</t>
  </si>
  <si>
    <t>2026-05-23 15:23:19.035904+00</t>
  </si>
  <si>
    <t>serenity-power</t>
  </si>
  <si>
    <t>Serenity Power</t>
  </si>
  <si>
    <t>Serenity Power is a cleantech startup developing solid oxide fuel cell-based remote power technology.</t>
  </si>
  <si>
    <t>Calgary, Alberta, Canada, North America</t>
  </si>
  <si>
    <t>serenitypower.ca</t>
  </si>
  <si>
    <t>serenity-power-ca</t>
  </si>
  <si>
    <t>https://pitchbook.com/profiles/company/864320-95</t>
  </si>
  <si>
    <t>contact@serenitypower.ca</t>
  </si>
  <si>
    <t>2026-04-27 18:00:37.693827+00</t>
  </si>
  <si>
    <t>2026-05-23 15:23:18.790258+00</t>
  </si>
  <si>
    <t>ai-predictions</t>
  </si>
  <si>
    <t>AI predictions</t>
  </si>
  <si>
    <t>AI predictions is an AI predictions startup.</t>
  </si>
  <si>
    <t>aipredictions.ai</t>
  </si>
  <si>
    <t>2026-05-23 15:23:18.648859+00</t>
  </si>
  <si>
    <t>heaviside-industries</t>
  </si>
  <si>
    <t>Heaviside Industries</t>
  </si>
  <si>
    <t>Heaviside Industries is a defensetech company building autonomous precision munitions across air, land and sea.</t>
  </si>
  <si>
    <t>theheaviside.com</t>
  </si>
  <si>
    <t>2026-05-23 15:23:18.579538+00</t>
  </si>
  <si>
    <t>zellify</t>
  </si>
  <si>
    <t>Zellify</t>
  </si>
  <si>
    <t>Zellify is a London startup that provides a platform enabling app developers to distribute apps directly to users to avoid traditional app-store fees.</t>
  </si>
  <si>
    <t>zellify.app</t>
  </si>
  <si>
    <t>zellifyapp</t>
  </si>
  <si>
    <t>https://pitchbook.com/profiles/company/698133-97</t>
  </si>
  <si>
    <t>https://x.com/ZellifyApp</t>
  </si>
  <si>
    <t>marcus@zellify.app</t>
  </si>
  <si>
    <t>2026-05-23 15:23:17.495997+00</t>
  </si>
  <si>
    <t>skye-1</t>
  </si>
  <si>
    <t>skye-da51</t>
  </si>
  <si>
    <t>Skye</t>
  </si>
  <si>
    <t>Skye is an iPhone app that provides an agentic homescreen using iOS widgets to surface personalized, ambient AI insights and actions.</t>
  </si>
  <si>
    <t>skyeapp.ai</t>
  </si>
  <si>
    <t>skyeapp</t>
  </si>
  <si>
    <t>2026-04-27 17:00:42.585622+00</t>
  </si>
  <si>
    <t>2026-05-23 15:23:17.241053+00</t>
  </si>
  <si>
    <t>cleandesign</t>
  </si>
  <si>
    <t>cleandesign-power-systems-inc</t>
  </si>
  <si>
    <t>CleanDesign</t>
  </si>
  <si>
    <t>CleanDesign is a software-driven energy technology company that builds Hybrid Energy Management Systems combining AI-driven software with battery storage to optimize industrial power systems.</t>
  </si>
  <si>
    <t>Burlington, Ontario, Canada, North America</t>
  </si>
  <si>
    <t>cleandesign.ca</t>
  </si>
  <si>
    <t>cleandesign-inc</t>
  </si>
  <si>
    <t>https://pitchbook.com/profiles/company/525539-89</t>
  </si>
  <si>
    <t>patrick.wagner@cleandesign.ca</t>
  </si>
  <si>
    <t>416-579-5456</t>
  </si>
  <si>
    <t>2026-04-28 13:00:49.497766+00</t>
  </si>
  <si>
    <t>2026-05-23 15:23:16.98436+00</t>
  </si>
  <si>
    <t>kovon</t>
  </si>
  <si>
    <t>Kovon</t>
  </si>
  <si>
    <t>Kovon is a cross-border workforce mobility platform that connects India‚Äôs blue- and grey-collar workers to overseas job opportunities and provides end-to-end services including upskilling, financing, placement, and post-deployment support.</t>
  </si>
  <si>
    <t>kovon.io</t>
  </si>
  <si>
    <t>kovon-io</t>
  </si>
  <si>
    <t>https://pitchbook.com/profiles/company/1380934-99</t>
  </si>
  <si>
    <t>2026-05-23 15:23:16.915174+00</t>
  </si>
  <si>
    <t>pam-medical</t>
  </si>
  <si>
    <t>Pam Medical</t>
  </si>
  <si>
    <t>Pulnovo Medical is a medical device company developing a Pulmonary Artery Denervation (PADN) system to treat cardiopulmonary diseases.</t>
  </si>
  <si>
    <t>pulnovomed.us</t>
  </si>
  <si>
    <t>2026-05-23 15:23:16.845189+00</t>
  </si>
  <si>
    <t>rightbrain-ai</t>
  </si>
  <si>
    <t>Rightbrain AI</t>
  </si>
  <si>
    <t>Rightbrain AI is an AI operating layer that helps B2B services businesses and lean technical teams take AI from prototype into production.</t>
  </si>
  <si>
    <t>rightbrain.ai</t>
  </si>
  <si>
    <t>rightbrainai-tasks</t>
  </si>
  <si>
    <t>2026-05-23 15:23:16.771383+00</t>
  </si>
  <si>
    <t>cnuic</t>
  </si>
  <si>
    <t>Cnuic</t>
  </si>
  <si>
    <t>Cnuic is an Edinburgh-based company developing a novel photolithography device for rapid, reconfigurable production of photonic chips.</t>
  </si>
  <si>
    <t>cnuic.com</t>
  </si>
  <si>
    <t>https://pitchbook.com/profiles/company/1377564-94</t>
  </si>
  <si>
    <t>2026-05-23 15:23:16.51677+00</t>
  </si>
  <si>
    <t>coultreon-biopharma</t>
  </si>
  <si>
    <t>Coultreon Biopharma</t>
  </si>
  <si>
    <t>Coultreon Biopharma is a biotechnology company developing therapies that target immunology and metabolic disease pathways, with a focus on salt-inducible kinase (SIK) biology.</t>
  </si>
  <si>
    <t>coultreon.com</t>
  </si>
  <si>
    <t>onco3r-therapeutics</t>
  </si>
  <si>
    <t>2026-05-23 15:23:16.448653+00</t>
  </si>
  <si>
    <t>polymeractive</t>
  </si>
  <si>
    <t>PolymerActive</t>
  </si>
  <si>
    <t>PolymerActive is a cleantech startup that develops filter materials for wastewater and air purification from recycled plastic waste.</t>
  </si>
  <si>
    <t>polymeractive.com</t>
  </si>
  <si>
    <t>https://pitchbook.com/profiles/company/530309-08</t>
  </si>
  <si>
    <t>2026-05-23 15:23:16.374741+00</t>
  </si>
  <si>
    <t>memorax-ai</t>
  </si>
  <si>
    <t>MemoraX AI</t>
  </si>
  <si>
    <t>MemoraX AI (Shenzhen Yijiyuan Technology Co., Ltd.) builds large-model endogenous memory systems that internalize memory capabilities into AI models using Agentic RL.</t>
  </si>
  <si>
    <t>memorax.ai</t>
  </si>
  <si>
    <t>https://pitchbook.com/profiles/company/1380928-69</t>
  </si>
  <si>
    <t>2026-05-23 15:23:16.304049+00</t>
  </si>
  <si>
    <t>aleisha-reese-cerny</t>
  </si>
  <si>
    <t>Aleisha Reese Cerny</t>
  </si>
  <si>
    <t>Aleisha Reese Cerny is a startup led by Aleisha Reese Cerny.</t>
  </si>
  <si>
    <t>2026-05-23 15:23:15.984648+00</t>
  </si>
  <si>
    <t>signull-labs</t>
  </si>
  <si>
    <t>Signull Labs</t>
  </si>
  <si>
    <t>Signull Labs is a startup developing Skye, an iPhone AI app that integrates into the home screen via iOS widgets to provide ambient, context-aware assistant capabilities.</t>
  </si>
  <si>
    <t>signulllabs.com</t>
  </si>
  <si>
    <t>https://pitchbook.com/profiles/company/1080853-48</t>
  </si>
  <si>
    <t>2026-05-23 15:23:15.915785+00</t>
  </si>
  <si>
    <t>liquid-3</t>
  </si>
  <si>
    <t>liquid-d558</t>
  </si>
  <si>
    <t>Liquid</t>
  </si>
  <si>
    <t>Liquid is a single trading platform that enables users to trade crypto and traditional assets 24/7 across multiple markets.</t>
  </si>
  <si>
    <t>tryliquid.xyz</t>
  </si>
  <si>
    <t>tryliquid</t>
  </si>
  <si>
    <t>https://pitchbook.com/profiles/company/1158069-07</t>
  </si>
  <si>
    <t>https://x.com/liquidtrading</t>
  </si>
  <si>
    <t>support@tryliquid.xyz</t>
  </si>
  <si>
    <t>2026-05-23 15:23:15.841146+00</t>
  </si>
  <si>
    <t>b</t>
  </si>
  <si>
    <t>B</t>
  </si>
  <si>
    <t>B is a pre-seed startup building the "future of networking" and is raising ¬£750,000 on an ¬£8M cap while soliciting investors for high-growth upside.</t>
  </si>
  <si>
    <t>2026-05-23 15:23:15.771886+00</t>
  </si>
  <si>
    <t>seocidog</t>
  </si>
  <si>
    <t>ÏÑúÏπòÎèÖ</t>
  </si>
  <si>
    <t>ÏÑúÏπòÎèÖÏùÄ Ï¥àÎåÄÌòï Î¨∏ÏÑúÏôÄ ÏÇ∞ÏóÖ ÎèÑÎ©¥ÏùÑ Î∂ÑÏÑùÌïòÎäî AI Í∏∞Ïà†ÏùÑ Í∞úÎ∞úÌïòÎäî Ïä§ÌÉÄÌä∏ÏóÖÏù¥Îã§.</t>
  </si>
  <si>
    <t>searchdoc.ai</t>
  </si>
  <si>
    <t>2026-05-23 15:23:15.700593+00</t>
  </si>
  <si>
    <t>noemon</t>
  </si>
  <si>
    <t>Noemon</t>
  </si>
  <si>
    <t>Noemon is a stealth startup developing next-generation AI learning systems to improve efficiency, adaptability, and scalability.</t>
  </si>
  <si>
    <t>noemon.com</t>
  </si>
  <si>
    <t>https://pitchbook.com/profiles/company/1378078-48</t>
  </si>
  <si>
    <t>2026-05-23 15:23:15.629425+00</t>
  </si>
  <si>
    <t>novapro</t>
  </si>
  <si>
    <t>NOVAPRO</t>
  </si>
  <si>
    <t>NOVAPRO is a Tokyo-based WealthTech firm that develops AI-powered platforms for investor education and stock analysis.</t>
  </si>
  <si>
    <t>novapro.co.jp</t>
  </si>
  <si>
    <t>https://pitchbook.com/profiles/company/1380853-00</t>
  </si>
  <si>
    <t>info@novapro.co.jp</t>
  </si>
  <si>
    <t>2026-05-23 15:23:15.374466+00</t>
  </si>
  <si>
    <t>frame-security</t>
  </si>
  <si>
    <t>Frame Security</t>
  </si>
  <si>
    <t>Frame Security is a Tel Aviv-based human security and security awareness company that uses AI-powered simulations, training and guidance to reduce human-targeted risk from social engineering, deepfakes and AI-powered threats.</t>
  </si>
  <si>
    <t>framesecurity.com</t>
  </si>
  <si>
    <t>framesecurity</t>
  </si>
  <si>
    <t>info@framesecurity.com</t>
  </si>
  <si>
    <t>2026-05-11 13:00:41.126111+00</t>
  </si>
  <si>
    <t>2026-05-23 15:23:15.044744+00</t>
  </si>
  <si>
    <t>airseekers</t>
  </si>
  <si>
    <t>airseekers-robotics</t>
  </si>
  <si>
    <t>Airseekers</t>
  </si>
  <si>
    <t>Airseekers is a Chinese yard robotics company that designs, develops, and manufactures boundary-free robotic lawn mowers and smart yard hardware.</t>
  </si>
  <si>
    <t>airseekers-robotics.com</t>
  </si>
  <si>
    <t>https://pitchbook.com/profiles/company/527785-30</t>
  </si>
  <si>
    <t>info@airseekers.ai</t>
  </si>
  <si>
    <t>2025-12-10 23:15:24.33197+00</t>
  </si>
  <si>
    <t>2026-05-23 15:23:14.788218+00</t>
  </si>
  <si>
    <t>newco-3</t>
  </si>
  <si>
    <t>nxera-pharma-newco</t>
  </si>
  <si>
    <t>NewCo</t>
  </si>
  <si>
    <t>NewCo is a newly established company co-founded by Nxera and a syndicate of healthcare and life sciences investors to advance a preclinical GPCR-targeted program.</t>
  </si>
  <si>
    <t>2026-05-23 15:23:14.53176+00</t>
  </si>
  <si>
    <t>config-1</t>
  </si>
  <si>
    <t>config-76cc</t>
  </si>
  <si>
    <t>Config</t>
  </si>
  <si>
    <t>Config is a startup that builds the data layer for robotic foundation models by collecting and transforming human motion data for robot training.</t>
  </si>
  <si>
    <t>config.inc</t>
  </si>
  <si>
    <t>config-inc</t>
  </si>
  <si>
    <t>https://pitchbook.com/profiles/company/865820-44</t>
  </si>
  <si>
    <t>2026-05-23 15:23:14.269427+00</t>
  </si>
  <si>
    <t>groove-quantum</t>
  </si>
  <si>
    <t>Groove Quantum</t>
  </si>
  <si>
    <t>Groove Quantum is a quantum computing company developing germanium-based semiconductor spin-qubit processors for scalable, high-fidelity quantum systems.</t>
  </si>
  <si>
    <t>groovequantum.com</t>
  </si>
  <si>
    <t>https://pitchbook.com/profiles/company/749321-65</t>
  </si>
  <si>
    <t>info@groovequantum.com</t>
  </si>
  <si>
    <t>2026-05-23 15:10:58.862761+00</t>
  </si>
  <si>
    <t>nothing-but</t>
  </si>
  <si>
    <t>Nothing But</t>
  </si>
  <si>
    <t>Nothing But is a healthy snacking startup that makes freeze-dried fruit snacks from 100% real fruit without added sugar, preservatives, flavors or additives.</t>
  </si>
  <si>
    <t>nothingbutsnack.com</t>
  </si>
  <si>
    <t>2026-05-23 14:10:22.502999+00</t>
  </si>
  <si>
    <t>feldwerke</t>
  </si>
  <si>
    <t>Feldwerke</t>
  </si>
  <si>
    <t>Feldwerke is a Munich-based AgTech startup that develops and installs agri-PV (agrivoltaics) systems combining solar power with active farming.</t>
  </si>
  <si>
    <t>feldwerke.de</t>
  </si>
  <si>
    <t>2026-05-23 14:10:22.367516+00</t>
  </si>
  <si>
    <t>atlo</t>
  </si>
  <si>
    <t>Atlo</t>
  </si>
  <si>
    <t>Atlo is a Danish retailtech startup building an AI-based wholesale operations platform for interior design and lifestyle brands.</t>
  </si>
  <si>
    <t>atlo.io</t>
  </si>
  <si>
    <t>atlo-io</t>
  </si>
  <si>
    <t>2026-05-23 14:10:22.292305+00</t>
  </si>
  <si>
    <t>valius-sciences</t>
  </si>
  <si>
    <t>Valius Sciences</t>
  </si>
  <si>
    <t>Valius Sciences is a San Francisco-based healthcare diagnostics company specializing in cancer treatment.</t>
  </si>
  <si>
    <t>valiussciences.com</t>
  </si>
  <si>
    <t>https://pitchbook.com/profiles/company/880502-14</t>
  </si>
  <si>
    <t>2026-05-23 13:10:44.432674+00</t>
  </si>
  <si>
    <t>dimensions-agri-technologies</t>
  </si>
  <si>
    <t>Dimensions Agri Technologies</t>
  </si>
  <si>
    <t>Dimensions Agri Technologies develops a camera- and AI-based system that distinguishes crops from weeds and controls spraying in real time.</t>
  </si>
  <si>
    <t>dimensionsagri.no</t>
  </si>
  <si>
    <t>https://pitchbook.com/profiles/company/343750-69</t>
  </si>
  <si>
    <t>2026-05-23 13:10:44.36751+00</t>
  </si>
  <si>
    <t>defi-united</t>
  </si>
  <si>
    <t>DeFi United</t>
  </si>
  <si>
    <t>DeFi United is a multi-protocol decentralized finance recovery fund that coordinates contributions to cover protocol losses after major exploits.</t>
  </si>
  <si>
    <t>defiunited.world</t>
  </si>
  <si>
    <t>2026-05-23 13:10:44.300218+00</t>
  </si>
  <si>
    <t>sniffies</t>
  </si>
  <si>
    <t>sniffies-llc</t>
  </si>
  <si>
    <t>Sniffies</t>
  </si>
  <si>
    <t>Sniffies is a map-based cruising platform that connects non-heterosexual men via a real-time interactive map.</t>
  </si>
  <si>
    <t>Dover, Kansas, United States, North America</t>
  </si>
  <si>
    <t>sniffies.com</t>
  </si>
  <si>
    <t>contact@sniffieshush.com</t>
  </si>
  <si>
    <t>2026-05-23 13:10:42.928136+00</t>
  </si>
  <si>
    <t>gamerplug</t>
  </si>
  <si>
    <t>Gamerplug</t>
  </si>
  <si>
    <t>Gamerplug is a swipe-based gaming matchmaking platform that connects gamers by having users upload gameplay clips instead of profile pictures.</t>
  </si>
  <si>
    <t>gamerplug.app</t>
  </si>
  <si>
    <t>https://x.com/the_gamer_plug</t>
  </si>
  <si>
    <t>2026-05-23 13:10:42.666604+00</t>
  </si>
  <si>
    <t>vyko</t>
  </si>
  <si>
    <t>VYKO</t>
  </si>
  <si>
    <t>VYKO is an Irish luxury brands platform aiming to raise ‚Ç¨50m to acquire and scale Irish premium fashion, beauty and consumer brands via centralised funding, shared operations and a digital-led global distribution model.</t>
  </si>
  <si>
    <t>vyko-group.com</t>
  </si>
  <si>
    <t>2026-05-23 13:10:42.602029+00</t>
  </si>
  <si>
    <t>sora-aviation</t>
  </si>
  <si>
    <t>Sora Aviation</t>
  </si>
  <si>
    <t>Sora Aviation is a Bristol-based startup developing the S-1 electric vertical takeoff and landing (eVTOL) aircraft.</t>
  </si>
  <si>
    <t>soraaviation.com</t>
  </si>
  <si>
    <t>2026-05-23 13:10:42.46864+00</t>
  </si>
  <si>
    <t>sonaura</t>
  </si>
  <si>
    <t>Sonaura</t>
  </si>
  <si>
    <t>Sonaura is a company that develops and operates an offsite renewable energy private wire platform connecting projects to corporate offtakers.</t>
  </si>
  <si>
    <t>sonauraenergy.com</t>
  </si>
  <si>
    <t>sonauraenergy</t>
  </si>
  <si>
    <t>https://pitchbook.com/profiles/company/593605-09</t>
  </si>
  <si>
    <t>2026-05-23 13:10:42.404202+00</t>
  </si>
  <si>
    <t>ben-xin-ke-ji</t>
  </si>
  <si>
    <t>ÁäáËäØÁßëÊäÄ</t>
  </si>
  <si>
    <t>ÁäáËäØÁßëÊäÄ is an AI and enterprise-services company that builds self-developed algorithms and industry large models to support marketing and operations for enterprises.</t>
  </si>
  <si>
    <t>2026-05-23 13:10:42.338133+00</t>
  </si>
  <si>
    <t>paradise-biryani</t>
  </si>
  <si>
    <t>Paradise Biryani</t>
  </si>
  <si>
    <t>Paradise Biryani is an Indian quick-service restaurant chain known for its biryani.</t>
  </si>
  <si>
    <t>paradisefoodcourt.in</t>
  </si>
  <si>
    <t>paradise-food-court</t>
  </si>
  <si>
    <t>https://pitchbook.com/profiles/company/63422-47</t>
  </si>
  <si>
    <t>2026-05-23 13:10:42.271444+00</t>
  </si>
  <si>
    <t>rivage-1</t>
  </si>
  <si>
    <t>Rivage</t>
  </si>
  <si>
    <t>Rivage is a roll-up targeting managed IT services and cybersecurity.</t>
  </si>
  <si>
    <t>rivage-groupe.com</t>
  </si>
  <si>
    <t>rivage-groupe</t>
  </si>
  <si>
    <t>2026-05-23 13:10:42.204366+00</t>
  </si>
  <si>
    <t>soloband-games</t>
  </si>
  <si>
    <t>Soloband Games</t>
  </si>
  <si>
    <t>Soloband Games is a Cyprus-based casual mobile games studio best known for its World Tour Merge title.</t>
  </si>
  <si>
    <t>2026-05-23 13:10:42.104498+00</t>
  </si>
  <si>
    <t>bravotran</t>
  </si>
  <si>
    <t>BravoTran</t>
  </si>
  <si>
    <t>BravoTran is an end-to-end accounts payable and accounts receivable automation platform built for freight forwarders.</t>
  </si>
  <si>
    <t>bravotran.com</t>
  </si>
  <si>
    <t>https://pitchbook.com/profiles/company/471087-10</t>
  </si>
  <si>
    <t>630-544-0459</t>
  </si>
  <si>
    <t>2026-05-23 12:05:16.108141+00</t>
  </si>
  <si>
    <t>craon</t>
  </si>
  <si>
    <t>craon-079e</t>
  </si>
  <si>
    <t>CRAON</t>
  </si>
  <si>
    <t>craon.ai</t>
  </si>
  <si>
    <t>CRAON is an AI-powered video editing platform that enables prompt-based editing of real footage with iterative feedback.</t>
  </si>
  <si>
    <t>craon-ai</t>
  </si>
  <si>
    <t>https://pitchbook.com/profiles/company/1326507-49</t>
  </si>
  <si>
    <t>contact@craon.ai</t>
  </si>
  <si>
    <t>2026-05-23 11:26:15.165948+00</t>
  </si>
  <si>
    <t>cellogen-therapeutics</t>
  </si>
  <si>
    <t>Cellogen Therapeutics</t>
  </si>
  <si>
    <t>Cellogen Therapeutics develops cell and gene therapies using CAR‚ÄëT technology to treat cancers and blood disorders.</t>
  </si>
  <si>
    <t>cellogentherapeutics.com</t>
  </si>
  <si>
    <t>https://pitchbook.com/profiles/company/552673-18</t>
  </si>
  <si>
    <t>info@cellogentherapeutics.com</t>
  </si>
  <si>
    <t>8826 931 012</t>
  </si>
  <si>
    <t>2026-05-23 11:26:07.656206+00</t>
  </si>
  <si>
    <t>hr-energy</t>
  </si>
  <si>
    <t>HR Energy</t>
  </si>
  <si>
    <t>HR Energy develops and supplies PVT (photovoltaic-thermal) heat-pump systems that are installed behind solar panels.</t>
  </si>
  <si>
    <t>hr-energy.com</t>
  </si>
  <si>
    <t>hrenergynl</t>
  </si>
  <si>
    <t>2026-05-23 11:26:07.52834+00</t>
  </si>
  <si>
    <t>bexreal</t>
  </si>
  <si>
    <t>beXreal</t>
  </si>
  <si>
    <t>beXreal develops TwinParks, an interoperable data-space platform for industrial parks that enables secure data exchange and industrial data sovereignty.</t>
  </si>
  <si>
    <t>bexreal.com</t>
  </si>
  <si>
    <t>https://pitchbook.com/profiles/company/554730-49</t>
  </si>
  <si>
    <t>2026-05-23 11:26:07.459002+00</t>
  </si>
  <si>
    <t>kathy-s-beverages</t>
  </si>
  <si>
    <t>Kathy's Beverages</t>
  </si>
  <si>
    <t>Kathy's Beverages is the company behind Bobakat, a Mumbai-based bubble tea and experiential beverage brand.</t>
  </si>
  <si>
    <t>2026-05-23 11:26:07.392146+00</t>
  </si>
  <si>
    <t>gront-fra-nord</t>
  </si>
  <si>
    <t>Gr√∏nt fra Nord</t>
  </si>
  <si>
    <t>Gr√∏nt fra Nord is a vertical farming operation in Northern Norway producing leafy greens with extended shelf life.</t>
  </si>
  <si>
    <t>grontfranord.no</t>
  </si>
  <si>
    <t>gr%c3%b8nt-fra-nord-as</t>
  </si>
  <si>
    <t>https://pitchbook.com/profiles/company/962187-49</t>
  </si>
  <si>
    <t>2025-10-09 23:30:28.160318+00</t>
  </si>
  <si>
    <t>2026-05-23 11:26:07.322746+00</t>
  </si>
  <si>
    <t>serenza-therapeutics</t>
  </si>
  <si>
    <t>Serenza Therapeutics</t>
  </si>
  <si>
    <t>Serenza Therapeutics is a biopharmaceutical spin-out from Nxera Pharma advancing a preclinical GPCR-targeted program discovered using Nxera‚Äôs NxWave‚Ñ¢ platform.</t>
  </si>
  <si>
    <t>2026-05-23 11:26:07.18714+00</t>
  </si>
  <si>
    <t>neopolis-brands</t>
  </si>
  <si>
    <t>Neopolis Brands</t>
  </si>
  <si>
    <t>Neopolis Brands is a venture that brings and scales international women's fashion and accessories brands in India.</t>
  </si>
  <si>
    <t>2026-05-23 11:26:07.120277+00</t>
  </si>
  <si>
    <t>bovicash</t>
  </si>
  <si>
    <t>Bovicash</t>
  </si>
  <si>
    <t>Bovicash is a leasing platform that finances acquisition of beef (allaitant) cattle through time-limited leasing contracts with purchase options for professional actors in the bovine sector.</t>
  </si>
  <si>
    <t>bovicash.com</t>
  </si>
  <si>
    <t>2026-05-23 11:26:07.05065+00</t>
  </si>
  <si>
    <t>retailgrid</t>
  </si>
  <si>
    <t>Retailgrid</t>
  </si>
  <si>
    <t>Retailgrid is a Helsinki-based startup developing an AI-powered spreadsheet-style platform for retail pricing, forecasting and assortment planning.</t>
  </si>
  <si>
    <t>retailgrid.io</t>
  </si>
  <si>
    <t>https://pitchbook.com/profiles/company/1376893-45</t>
  </si>
  <si>
    <t>maxim@retailgrid.io</t>
  </si>
  <si>
    <t>2026-05-23 11:26:04.828894+00</t>
  </si>
  <si>
    <t>exhibitly</t>
  </si>
  <si>
    <t>Exhibitly</t>
  </si>
  <si>
    <t>Exhibitly is a Ghent-based EventTech startup that uses AI to personalise B2B event websites and generate tailored "why attend" reports.</t>
  </si>
  <si>
    <t>exhibitly.ai</t>
  </si>
  <si>
    <t>joinexhibitly</t>
  </si>
  <si>
    <t>https://pitchbook.com/profiles/company/897254-74</t>
  </si>
  <si>
    <t>2026-05-23 11:26:04.759461+00</t>
  </si>
  <si>
    <t>roboparty</t>
  </si>
  <si>
    <t>RoboParty</t>
  </si>
  <si>
    <t>RoboParty develops fully open-source two-legged humanoid robots, an open development platform, and related tooling for developers, labs, and education.</t>
  </si>
  <si>
    <t>roboparty.com</t>
  </si>
  <si>
    <t>https://pitchbook.com/profiles/company/1161522-37</t>
  </si>
  <si>
    <t>contact@roboparty.com</t>
  </si>
  <si>
    <t>+86 192 5270 4182</t>
  </si>
  <si>
    <t>2026-05-23 11:26:04.179952+00</t>
  </si>
  <si>
    <t>accro-bioscience</t>
  </si>
  <si>
    <t>Accro Bioscience</t>
  </si>
  <si>
    <t>Accro Bioscience is a clinical-stage biotechnology company developing novel therapeutics that target molecular mechanisms of regulatory cell death for inflammatory and autoimmune diseases.</t>
  </si>
  <si>
    <t>accro.com.cn</t>
  </si>
  <si>
    <t>https://pitchbook.com/profiles/company/489709-90</t>
  </si>
  <si>
    <t>info@accro.com.cn</t>
  </si>
  <si>
    <t>0512-62626021</t>
  </si>
  <si>
    <t>2026-05-23 11:26:03.923725+00</t>
  </si>
  <si>
    <t>agrifence</t>
  </si>
  <si>
    <t>Agrifence</t>
  </si>
  <si>
    <t>Agrifence is an agtech from Rio Grande (RS) that builds plug-and-play hardware (AgriBox) and software (Agri-Vision) to monitor agricultural machinery and manage operational costs.</t>
  </si>
  <si>
    <t>agrifencebrasil</t>
  </si>
  <si>
    <t>2026-05-19 05:00:42.092792+00</t>
  </si>
  <si>
    <t>2026-05-23 11:26:03.85611+00</t>
  </si>
  <si>
    <t>astralq</t>
  </si>
  <si>
    <t>AstralQ</t>
  </si>
  <si>
    <t>AstralQ is an AI-based materials development company operating an end-to-end cloud lab that integrates predictive AI models with automated inorganic synthesis for experimental validation.</t>
  </si>
  <si>
    <t>2026-05-23 11:26:03.604157+00</t>
  </si>
  <si>
    <t>cequra</t>
  </si>
  <si>
    <t>Cequra</t>
  </si>
  <si>
    <t>Cequra builds an edge-native, offline-capable cyber-physical decision infrastructure layer for the maritime industry that ingests cyber, navigation, and connectivity signals.</t>
  </si>
  <si>
    <t>cequra.io</t>
  </si>
  <si>
    <t>cequra-ai</t>
  </si>
  <si>
    <t>https://pitchbook.com/profiles/company/1392398-38</t>
  </si>
  <si>
    <t>2026-05-23 11:26:03.464878+00</t>
  </si>
  <si>
    <t>prema-cognition</t>
  </si>
  <si>
    <t>Prema Cognition</t>
  </si>
  <si>
    <t>Prema Cognition is a Cambridge-derived health tech company that develops PREMAZ, a clinician-ready digital cognitive assessment designed to detect subtle memory decline years earlier.</t>
  </si>
  <si>
    <t>premaz.org</t>
  </si>
  <si>
    <t>2026-05-23 11:26:03.321517+00</t>
  </si>
  <si>
    <t>nex-health-intelligence</t>
  </si>
  <si>
    <t>NEX Health Intelligence</t>
  </si>
  <si>
    <t>NEX Health Intelligence is a healthcare analytics company that predicts where drug‚Äëresistant infections will spread inside hospitals.</t>
  </si>
  <si>
    <t>nex-intelligence.org</t>
  </si>
  <si>
    <t>nex-health-intel</t>
  </si>
  <si>
    <t>https://pitchbook.com/profiles/company/517348-09</t>
  </si>
  <si>
    <t>2026-05-19 08:00:37.545931+00</t>
  </si>
  <si>
    <t>2026-05-23 11:26:02.985364+00</t>
  </si>
  <si>
    <t>soyft-biome</t>
  </si>
  <si>
    <t>Soyft Biome</t>
  </si>
  <si>
    <t>Soyft Biome is a South Korean food tech startup that upcycles byproducts from tempeh fermentation into functional plant-based proteins and emulsion technologies for non-dairy products.</t>
  </si>
  <si>
    <t>soyftbiome.com</t>
  </si>
  <si>
    <t>https://pitchbook.com/profiles/company/769422-07</t>
  </si>
  <si>
    <t>2026-05-23 11:26:02.916748+00</t>
  </si>
  <si>
    <t>sleep-or-die</t>
  </si>
  <si>
    <t>Sleep or Die</t>
  </si>
  <si>
    <t>Sleep or Die is a founder-led media and lifestyle brand producing female-first storytelling and video content (short films/series) that spotlights candid women's experiences and builds a community-driven brand while raising strategic, hands-on investment.</t>
  </si>
  <si>
    <t>sleep-or-die.com</t>
  </si>
  <si>
    <t>sleep-or-die%e2%84%a2</t>
  </si>
  <si>
    <t>2026-05-23 11:26:02.845872+00</t>
  </si>
  <si>
    <t>baabuk</t>
  </si>
  <si>
    <t>Baabuk</t>
  </si>
  <si>
    <t>Baabuk is a Lausanne-based company that designs and produces wool products, manufacturing about 30,000 items per year.</t>
  </si>
  <si>
    <t>baabuk.com</t>
  </si>
  <si>
    <t>2026-05-23 11:26:02.77722+00</t>
  </si>
  <si>
    <t>hubble-5</t>
  </si>
  <si>
    <t>Hubble</t>
  </si>
  <si>
    <t>Hubble is a SaaS recruitment platform that uses AI to organize vacancies, analyze candidates, and reduce manual hiring tasks.</t>
  </si>
  <si>
    <t>hubblehr.com.br</t>
  </si>
  <si>
    <t>hubblehr</t>
  </si>
  <si>
    <t>2026-05-23 11:26:02.707991+00</t>
  </si>
  <si>
    <t>fintech-startup</t>
  </si>
  <si>
    <t>Fintech startup</t>
  </si>
  <si>
    <t>Fintech startup is a fintech company.</t>
  </si>
  <si>
    <t>2026-05-23 11:26:02.421998+00</t>
  </si>
  <si>
    <t>sinatra</t>
  </si>
  <si>
    <t>sinatra-0ea5</t>
  </si>
  <si>
    <t>Sinatra</t>
  </si>
  <si>
    <t>Sinatra is a Brazilian startup that provides an AI-powered operational observability platform for e-commerce.</t>
  </si>
  <si>
    <t>sinatra.pro</t>
  </si>
  <si>
    <t>https://pitchbook.com/profiles/company/711620-65</t>
  </si>
  <si>
    <t>privacidade@sinatra.pro</t>
  </si>
  <si>
    <t>+55 21-996760880</t>
  </si>
  <si>
    <t>2026-05-23 11:12:18.430068+00</t>
  </si>
  <si>
    <t>illoca</t>
  </si>
  <si>
    <t>Illoca</t>
  </si>
  <si>
    <t>Illoca is an AI-native design platform that enables architects to generate and refine 2D and 3D design documentation directly from sketches, markups, and natural language.</t>
  </si>
  <si>
    <t>illoca.com</t>
  </si>
  <si>
    <t>2026-05-06 23:03:01.540243+00</t>
  </si>
  <si>
    <t>2026-05-23 11:12:18.427785+00</t>
  </si>
  <si>
    <t>segura</t>
  </si>
  <si>
    <t>segura-1c43</t>
  </si>
  <si>
    <t>Segura</t>
  </si>
  <si>
    <t>Segura is a Brazilian AI platform that assists insurance brokers with policy management and sales using an AI assistant called Helena.</t>
  </si>
  <si>
    <t>segura.ai</t>
  </si>
  <si>
    <t>seguracorretech</t>
  </si>
  <si>
    <t>https://pitchbook.com/profiles/company/571403-08</t>
  </si>
  <si>
    <t>dpo@sejasegura.com.br</t>
  </si>
  <si>
    <t>2026-04-27 12:00:56.406013+00</t>
  </si>
  <si>
    <t>2026-05-23 11:12:18.42483+00</t>
  </si>
  <si>
    <t>texture</t>
  </si>
  <si>
    <t>texture-66bf</t>
  </si>
  <si>
    <t>Texture</t>
  </si>
  <si>
    <t>Texture is a grid software platform that provides utilities a unified operational view of devices and data across the electric grid.</t>
  </si>
  <si>
    <t>texturehq.com</t>
  </si>
  <si>
    <t>texturehq</t>
  </si>
  <si>
    <t>https://pitchbook.com/profiles/company/544773-16</t>
  </si>
  <si>
    <t>hello@texturehq.com</t>
  </si>
  <si>
    <t>2026-05-23 11:12:18.421739+00</t>
  </si>
  <si>
    <t>fresh-people</t>
  </si>
  <si>
    <t>Fresh People</t>
  </si>
  <si>
    <t>Fresh People is a Valencia-based technology company that builds AI-enabled leadership and team management solutions.</t>
  </si>
  <si>
    <t>Alcira, Comunidad Valenciana, Spain, Europe</t>
  </si>
  <si>
    <t>freshpeople.team</t>
  </si>
  <si>
    <t>https://pitchbook.com/profiles/company/484180-30</t>
  </si>
  <si>
    <t>info@freshpeople.team</t>
  </si>
  <si>
    <t>2026-05-23 11:12:18.421493+00</t>
  </si>
  <si>
    <t>asked</t>
  </si>
  <si>
    <t>AskEd</t>
  </si>
  <si>
    <t>AskEd is a UK education-technology company that uses voice AI to handle and qualify university and college student enquiries.</t>
  </si>
  <si>
    <t>askedai.co.uk</t>
  </si>
  <si>
    <t>asked-ai</t>
  </si>
  <si>
    <t>2026-05-11 20:00:45.238011+00</t>
  </si>
  <si>
    <t>2026-05-22 23:53:30.936625+00</t>
  </si>
  <si>
    <t>avantis-group</t>
  </si>
  <si>
    <t>arvantis-group</t>
  </si>
  <si>
    <t>Avantis Group</t>
  </si>
  <si>
    <t>Avantis Group is a Cardiff-based provider of specialist engineering services to the maritime and energy industries.</t>
  </si>
  <si>
    <t>avantisgroup.com</t>
  </si>
  <si>
    <t>group-avantis</t>
  </si>
  <si>
    <t>https://pitchbook.com/profiles/company/443190-43</t>
  </si>
  <si>
    <t>hello@arvantis.group</t>
  </si>
  <si>
    <t>2026-01-07 00:30:29.076415+00</t>
  </si>
  <si>
    <t>2026-05-22 23:53:30.378931+00</t>
  </si>
  <si>
    <t>nanumvitamin</t>
  </si>
  <si>
    <t>nanum-vitamin</t>
  </si>
  <si>
    <t>NanumVitamin</t>
  </si>
  <si>
    <t>NanumVitamin operates Nabiyam, a digital welfare payment infrastructure platform that connects public meal cards, donations, CSR budgets, and meal vouchers into a single payment experience.</t>
  </si>
  <si>
    <t>Mapo, Seoul-t'ukpyolsi, South Korea, Asia</t>
  </si>
  <si>
    <t>nanumnavi.com</t>
  </si>
  <si>
    <t>%eb%82%98%eb%b9%84</t>
  </si>
  <si>
    <t>https://pitchbook.com/profiles/company/552099-34</t>
  </si>
  <si>
    <t>nanumnavi@gmail.com</t>
  </si>
  <si>
    <t>+82 070-4006-1389</t>
  </si>
  <si>
    <t>2026-05-22 23:53:29.799012+00</t>
  </si>
  <si>
    <t>madhat-media</t>
  </si>
  <si>
    <t>MadHat Media</t>
  </si>
  <si>
    <t>MadHat Media is developing DDARP, a neutral, globally distributed telemetry and network-intelligence infrastructure that uses synchronized observation nodes across cloud, transit, and edge environments to provide real-time visibility into and mapping of internet performance conditions.</t>
  </si>
  <si>
    <t>madhatmediainc.com</t>
  </si>
  <si>
    <t>madhatmediainc</t>
  </si>
  <si>
    <t>702-530-4114</t>
  </si>
  <si>
    <t>2026-05-22 23:53:29.023749+00</t>
  </si>
  <si>
    <t>pixxel</t>
  </si>
  <si>
    <t>pixxel-81c6</t>
  </si>
  <si>
    <t>Pixxel</t>
  </si>
  <si>
    <t>Pixxel operates hyperspectral imaging satellites to deliver Earth-observation data and analytics.</t>
  </si>
  <si>
    <t>pixxel.space</t>
  </si>
  <si>
    <t>pixxelspace</t>
  </si>
  <si>
    <t>https://pitchbook.com/profiles/company/267653-71</t>
  </si>
  <si>
    <t>https://x.com/pixxelspace</t>
  </si>
  <si>
    <t>contact@pixxel.space</t>
  </si>
  <si>
    <t>2026-05-22 23:26:17.157604+00</t>
  </si>
  <si>
    <t>tenzo</t>
  </si>
  <si>
    <t>Tenzo</t>
  </si>
  <si>
    <t>Tenzo is a restaurant PerformanceOps platform that gives teams real-time visibility across sales, labour, inventory, and operations.</t>
  </si>
  <si>
    <t>gotenzo.com</t>
  </si>
  <si>
    <t>tenzo-inc.</t>
  </si>
  <si>
    <t>https://pitchbook.com/profiles/company/168589-00</t>
  </si>
  <si>
    <t>https://twitter.com/tenzoinc</t>
  </si>
  <si>
    <t>press@gotenzo.com</t>
  </si>
  <si>
    <t>2026-05-22 23:26:17.154075+00</t>
  </si>
  <si>
    <t>movus-technologies</t>
  </si>
  <si>
    <t>movus-technologies-indonesia</t>
  </si>
  <si>
    <t>movus technologies</t>
  </si>
  <si>
    <t>movus technologies provides a subscription service offering eco-friendly cars to ride-hailing drivers in Southeast Asia, using proprietary data to evaluate personal credit.</t>
  </si>
  <si>
    <t>mo-vus.com</t>
  </si>
  <si>
    <t>https://pitchbook.com/profiles/company/541383-58</t>
  </si>
  <si>
    <t>https://x.com/movustech</t>
  </si>
  <si>
    <t>+62 811-1920-1347</t>
  </si>
  <si>
    <t>2026-05-22 23:26:17.152768+00</t>
  </si>
  <si>
    <t>vega-3</t>
  </si>
  <si>
    <t>vega-security</t>
  </si>
  <si>
    <t>Vega</t>
  </si>
  <si>
    <t>Vega is an AI cybersecurity startup that lets enterprises detect threats by analyzing security data in place across cloud services, data lakes, and existing storage systems.</t>
  </si>
  <si>
    <t>Tel Aviv-yafo, Tel Aviv, Israel, Asia</t>
  </si>
  <si>
    <t>vega.io</t>
  </si>
  <si>
    <t>vega-security-io</t>
  </si>
  <si>
    <t>https://pitchbook.com/profiles/company/762454-27</t>
  </si>
  <si>
    <t>2025-09-16 20:30:35.171172+00</t>
  </si>
  <si>
    <t>2026-05-22 23:26:17.152133+00</t>
  </si>
  <si>
    <t>sidewinder-therapeutics</t>
  </si>
  <si>
    <t>Sidewinder Therapeutics</t>
  </si>
  <si>
    <t>Sidewinder Therapeutics is a biopharmaceutical company developing next-generation bispecific antibody-drug conjugates (ADCs) for cancer.</t>
  </si>
  <si>
    <t>sidewinderbio.com</t>
  </si>
  <si>
    <t>sidewinder-therapeutics-inc</t>
  </si>
  <si>
    <t>https://pitchbook.com/profiles/company/865669-69</t>
  </si>
  <si>
    <t>info@sidewinderbio.com</t>
  </si>
  <si>
    <t>2026-04-08 12:00:34.270913+00</t>
  </si>
  <si>
    <t>2026-05-22 23:26:17.150632+00</t>
  </si>
  <si>
    <t>vapi-1</t>
  </si>
  <si>
    <t>vapi-97c4</t>
  </si>
  <si>
    <t>Vapi</t>
  </si>
  <si>
    <t>Vapi is an AI voice startup that provides tools and infrastructure to build, deploy, and manage voice agents for customer support, lead qualification, appointment scheduling, and outbound sales.</t>
  </si>
  <si>
    <t>vapi.ai</t>
  </si>
  <si>
    <t>vapi-ai</t>
  </si>
  <si>
    <t>https://pitchbook.com/profiles/company/463291-48</t>
  </si>
  <si>
    <t>https://x.com/vapi_ai</t>
  </si>
  <si>
    <t>+1 888-670-5720</t>
  </si>
  <si>
    <t>2026-05-22 23:26:17.148444+00</t>
  </si>
  <si>
    <t>juno-9</t>
  </si>
  <si>
    <t>Juno</t>
  </si>
  <si>
    <t>Juno is a San Diego-based tax prep automation platform provider that uses AI to automate tax return preparation for tax professionals.</t>
  </si>
  <si>
    <t>juno.tax</t>
  </si>
  <si>
    <t>junotax</t>
  </si>
  <si>
    <t>https://pitchbook.com/profiles/company/600695-74</t>
  </si>
  <si>
    <t>2026-04-09 14:00:38.796499+00</t>
  </si>
  <si>
    <t>2026-05-22 23:26:17.146147+00</t>
  </si>
  <si>
    <t>deteqt</t>
  </si>
  <si>
    <t>DeteQt</t>
  </si>
  <si>
    <t>DeteQt develops chip-scale diamond quantum magnetometers and diamond-on-silicon quantum chips for sensitive magnetic field detection</t>
  </si>
  <si>
    <t>deteqt.tech</t>
  </si>
  <si>
    <t>https://pitchbook.com/profiles/company/719377-48</t>
  </si>
  <si>
    <t>2026-05-22 23:26:17.145973+00</t>
  </si>
  <si>
    <t>athulya</t>
  </si>
  <si>
    <t>athulya-senior-care</t>
  </si>
  <si>
    <t>Athulya Senior Care</t>
  </si>
  <si>
    <t>Athulya provides assisted living, transition care, and home healthcare for seniors 60+ across Chennai and Bangalore, managing 400+ assisted-living beds and operating multiple facilities with planned palliative care services.</t>
  </si>
  <si>
    <t>athulyaseniorcare.com</t>
  </si>
  <si>
    <t>athulyaseniorcare</t>
  </si>
  <si>
    <t>2026-05-22 23:26:17.140638+00</t>
  </si>
  <si>
    <t>zendure</t>
  </si>
  <si>
    <t>Zendure</t>
  </si>
  <si>
    <t>Zendure (ÂæÅÊãì / Guangzhou Jianghai Technology Co., Ltd.) is a pioneer of plug-and-play home energy management systems (Plug-in HEMS) building hardware, data, software and services for residential energy.</t>
  </si>
  <si>
    <t>D√ºsseldorf, Nordrhein-Westfalen, Germany, Europe</t>
  </si>
  <si>
    <t>zendure.com</t>
  </si>
  <si>
    <t>https://pitchbook.com/profiles/company/102914-38</t>
  </si>
  <si>
    <t>http://twitter.com/zendureusa</t>
  </si>
  <si>
    <t>wenxuan.guo@zendure.com</t>
  </si>
  <si>
    <t>2026-05-22 23:26:17.139866+00</t>
  </si>
  <si>
    <t>checker</t>
  </si>
  <si>
    <t>checker-a7b8</t>
  </si>
  <si>
    <t>Checker</t>
  </si>
  <si>
    <t>Checker is a global network that enables financial institutions to plug into stablecoins, digital asset liquidity, cross-border payments, treasury, and credit via a single API.</t>
  </si>
  <si>
    <t>checker.finance</t>
  </si>
  <si>
    <t>checker-corp</t>
  </si>
  <si>
    <t>https://pitchbook.com/profiles/company/719465-59</t>
  </si>
  <si>
    <t>https://x.com/checkercorp</t>
  </si>
  <si>
    <t>2026-05-22 23:26:17.133019+00</t>
  </si>
  <si>
    <t>cagent-vascular</t>
  </si>
  <si>
    <t>Cagent Vascular</t>
  </si>
  <si>
    <t>Cagent Vascular is an endovascular technologies company developing intravascular devices, including the Serranator Serration Remodeling Therapy and the Serranator SONIC IVL System.</t>
  </si>
  <si>
    <t>Wayne, Pennsylvania, United States, North America</t>
  </si>
  <si>
    <t>cagentvascular.com</t>
  </si>
  <si>
    <t>https://pitchbook.com/profiles/company/168756-85</t>
  </si>
  <si>
    <t>https://twitter.com/cagentvascular</t>
  </si>
  <si>
    <t>info@cagentvascular.com</t>
  </si>
  <si>
    <t>610-688-2006</t>
  </si>
  <si>
    <t>2026-05-22 23:26:17.129552+00</t>
  </si>
  <si>
    <t>liv-golf</t>
  </si>
  <si>
    <t>LIV Golf</t>
  </si>
  <si>
    <t>LIV Golf is seeking $250‚Äì350 million in new capital to recapitalize operations and pursue profitability after Saudi PIF announced it will stop funding, exploring ownership restructuring (including player and management stakes) and even bankruptcy to reset costly contracts while refocusing on team-based events and sponsorship growth.</t>
  </si>
  <si>
    <t>livgolf.com</t>
  </si>
  <si>
    <t>https://pitchbook.com/profiles/company/495845-56</t>
  </si>
  <si>
    <t>https://x.com/livgolf_league</t>
  </si>
  <si>
    <t>2026-05-22 23:26:16.734649+00</t>
  </si>
  <si>
    <t>boundary-1</t>
  </si>
  <si>
    <t>Boundary</t>
  </si>
  <si>
    <t>Boundary Labs is developing USBD, a verifiable institutional stablecoin protocol that enables on-chain verifiability and institutional-only onboarding.</t>
  </si>
  <si>
    <t>boundary.finance</t>
  </si>
  <si>
    <t>boundary-stablecoins</t>
  </si>
  <si>
    <t>2026-05-22 20:16:16.074904+00</t>
  </si>
  <si>
    <t>clickie</t>
  </si>
  <si>
    <t>Clickie</t>
  </si>
  <si>
    <t>Clickie is a C√≥rdoba-based platform that uses AI to diagnose home problems, provide preliminary quotes, and assign verified technicians for gas, electricity, plumbing and other services.</t>
  </si>
  <si>
    <t>clickie.com.ar</t>
  </si>
  <si>
    <t>clickie-ia</t>
  </si>
  <si>
    <t>2026-04-27 19:00:38.108982+00</t>
  </si>
  <si>
    <t>2026-05-22 20:16:16.003603+00</t>
  </si>
  <si>
    <t>waiv</t>
  </si>
  <si>
    <t>Waiv</t>
  </si>
  <si>
    <t>Waiv is a clinical-grade AI company that develops precision oncology tests to accelerate biomarker detection, outcome prediction, and treatment response assessment.</t>
  </si>
  <si>
    <t>https://pitchbook.com/profiles/company/1326626-74</t>
  </si>
  <si>
    <t>2026-03-12 14:00:41.348479+00</t>
  </si>
  <si>
    <t>2026-05-22 20:16:15.934789+00</t>
  </si>
  <si>
    <t>rogue</t>
  </si>
  <si>
    <t>Rogue</t>
  </si>
  <si>
    <t>Rogue is a Los Angeles-based startup that makes high-protein snacks (chips and puffs) containing active probiotics and free of seed oils and artificial ingredients.</t>
  </si>
  <si>
    <t>roguesnacks.com</t>
  </si>
  <si>
    <t>rogue-protein-snacks</t>
  </si>
  <si>
    <t>2026-05-22 20:16:15.852235+00</t>
  </si>
  <si>
    <t>kisab</t>
  </si>
  <si>
    <t>KISAB</t>
  </si>
  <si>
    <t>KISAB develops silicon carbide crystal growth technology from Link√∂ping University to produce virtually defect‚Äëfree SiC wafers for semiconductor device manufacturing.</t>
  </si>
  <si>
    <t>Stenungsund, Vastra Gotaland, Sweden, Europe</t>
  </si>
  <si>
    <t>kisabkontor.se</t>
  </si>
  <si>
    <t>kisab-kontor</t>
  </si>
  <si>
    <t>https://twitter.com/kisabkontor</t>
  </si>
  <si>
    <t>info@kisabkontor.se</t>
  </si>
  <si>
    <t>+46 0 303 833 34</t>
  </si>
  <si>
    <t>2026-05-22 19:04:11.873946+00</t>
  </si>
  <si>
    <t>plantswitch</t>
  </si>
  <si>
    <t>PlantSwitch</t>
  </si>
  <si>
    <t>PlantSwitch is a startup that makes compostable alternatives to traditional plastic food-service products.</t>
  </si>
  <si>
    <t>plantswitch.com</t>
  </si>
  <si>
    <t>https://pitchbook.com/profiles/company/471977-02</t>
  </si>
  <si>
    <t>sales@plantswitch.com</t>
  </si>
  <si>
    <t>830-499-7078</t>
  </si>
  <si>
    <t>2026-05-22 18:19:07.766469+00</t>
  </si>
  <si>
    <t>impossible-materials</t>
  </si>
  <si>
    <t>Seprify</t>
  </si>
  <si>
    <t>Seprify is a Swiss biomaterials company developing cellulose-based alternatives to titanium dioxide for cosmetics, food, coatings and other industrial applications.</t>
  </si>
  <si>
    <t>Freiburg, Fribourg, Switzerland, Europe</t>
  </si>
  <si>
    <t>seprify.com</t>
  </si>
  <si>
    <t>https://pitchbook.com/profiles/company/498384-82</t>
  </si>
  <si>
    <t>https://x.com/Seprify_Mat</t>
  </si>
  <si>
    <t>info@seprify.com</t>
  </si>
  <si>
    <t>2026-05-22 18:07:00.501948+00</t>
  </si>
  <si>
    <t>sprouts-ai</t>
  </si>
  <si>
    <t>sprouts</t>
  </si>
  <si>
    <t>Sprouts.ai</t>
  </si>
  <si>
    <t>Sprouts.ai builds AI-native Revenue Agents and a unified go-to-market (GTM) data intelligence layer for B2B enterprises.</t>
  </si>
  <si>
    <t>sprouts.ai</t>
  </si>
  <si>
    <t>https://pitchbook.com/profiles/company/537063-31</t>
  </si>
  <si>
    <t>help@sprouts.ai</t>
  </si>
  <si>
    <t>+91 9164409734</t>
  </si>
  <si>
    <t>2026-05-22 17:43:59.107056+00</t>
  </si>
  <si>
    <t>uncharted-dynamics</t>
  </si>
  <si>
    <t>Uncharted Dynamics</t>
  </si>
  <si>
    <t>Uncharted Dynamics is an embodied intelligence infrastructure company developing high-precision multibody dynamics solvers.</t>
  </si>
  <si>
    <t>uncharteddynamics.ai</t>
  </si>
  <si>
    <t>2026-05-11 16:00:44.572529+00</t>
  </si>
  <si>
    <t>2026-05-22 17:43:57.505418+00</t>
  </si>
  <si>
    <t>vbot</t>
  </si>
  <si>
    <t>Vbot</t>
  </si>
  <si>
    <t>Vbot is a robotics startup developing consumer smart companion robots and next-generation humanoid robots.</t>
  </si>
  <si>
    <t>vbot.cn</t>
  </si>
  <si>
    <t>vbot-ai</t>
  </si>
  <si>
    <t>2026-05-22 17:43:57.436709+00</t>
  </si>
  <si>
    <t>qendra</t>
  </si>
  <si>
    <t>Qendra</t>
  </si>
  <si>
    <t>Qendra is a Zurich-based company developing dedicated control systems that synchronise and manage classical hardware and experimental components for quantum computing experiments.</t>
  </si>
  <si>
    <t>Zurich, Zurich, Switzerland, Europe</t>
  </si>
  <si>
    <t>qendra.tech</t>
  </si>
  <si>
    <t>https://pitchbook.com/profiles/company/1164982-96</t>
  </si>
  <si>
    <t>2026-05-22 17:43:56.997567+00</t>
  </si>
  <si>
    <t>fermeate</t>
  </si>
  <si>
    <t>Fermeate</t>
  </si>
  <si>
    <t>fermeate.com</t>
  </si>
  <si>
    <t>https://pitchbook.com/profiles/company/681861-52</t>
  </si>
  <si>
    <t>four-pillars-2037</t>
  </si>
  <si>
    <t>Four Pillars</t>
  </si>
  <si>
    <t>4pillars.io</t>
  </si>
  <si>
    <t>fourpillarsfp</t>
  </si>
  <si>
    <t>https://pitchbook.com/profiles/company/535413-70</t>
  </si>
  <si>
    <t>https://twitter.com/fourpillarsfp</t>
  </si>
  <si>
    <t>Fathom Therapeutics</t>
  </si>
  <si>
    <t>fathomtx.com</t>
  </si>
  <si>
    <t>fathomtx</t>
  </si>
  <si>
    <t>gaus-9ab6</t>
  </si>
  <si>
    <t>Astor</t>
  </si>
  <si>
    <t>astor.app</t>
  </si>
  <si>
    <t>joinastor</t>
  </si>
  <si>
    <t>https://pitchbook.com/profiles/company/898972-21</t>
  </si>
  <si>
    <t>https://x.com/astorinvest</t>
  </si>
  <si>
    <t>Atech</t>
  </si>
  <si>
    <t>atech.dev</t>
  </si>
  <si>
    <t>atech-dev</t>
  </si>
  <si>
    <t>Sim√≥n</t>
  </si>
  <si>
    <t>holasimon.ai</t>
  </si>
  <si>
    <t>simonlearning</t>
  </si>
  <si>
    <t>https://pitchbook.com/profiles/company/819533-08</t>
  </si>
  <si>
    <t>Augustus</t>
  </si>
  <si>
    <t>lyrie-ai</t>
  </si>
  <si>
    <t>Lyrie.ai</t>
  </si>
  <si>
    <t>lyrie.ai</t>
  </si>
  <si>
    <t>https://x.com/lyrie_ai</t>
  </si>
  <si>
    <t>Driive</t>
  </si>
  <si>
    <t>getdriive.com</t>
  </si>
  <si>
    <t>getdriive</t>
  </si>
  <si>
    <t>https://pitchbook.com/profiles/company/720725-68</t>
  </si>
  <si>
    <t>greatevent</t>
  </si>
  <si>
    <t>greatEvent</t>
  </si>
  <si>
    <t>greatevent.com</t>
  </si>
  <si>
    <t>InfraSquad AI</t>
  </si>
  <si>
    <t>infrasquad.ai</t>
  </si>
  <si>
    <t>Poke Robot</t>
  </si>
  <si>
    <t>trifetch</t>
  </si>
  <si>
    <t>TriFetch</t>
  </si>
  <si>
    <t>trifetch.ai</t>
  </si>
  <si>
    <t>https://pitchbook.com/profiles/company/1318568-32</t>
  </si>
  <si>
    <t>Lola</t>
  </si>
  <si>
    <t>lola.do</t>
  </si>
  <si>
    <t>lola-inc</t>
  </si>
  <si>
    <t>rapido</t>
  </si>
  <si>
    <t>Rapido</t>
  </si>
  <si>
    <t>rapido.bike</t>
  </si>
  <si>
    <t>rapido-bike</t>
  </si>
  <si>
    <t>https://pitchbook.com/profiles/company/114533-83</t>
  </si>
  <si>
    <t>https://x.com/rapidobikeapp</t>
  </si>
  <si>
    <t>ennov</t>
  </si>
  <si>
    <t>Ennov</t>
  </si>
  <si>
    <t>ennov.com</t>
  </si>
  <si>
    <t>https://pitchbook.com/profiles/company/56556-91</t>
  </si>
  <si>
    <t>https://x.com/ennovgroup</t>
  </si>
  <si>
    <t>sardine</t>
  </si>
  <si>
    <t>Sardine</t>
  </si>
  <si>
    <t>sardine.ai</t>
  </si>
  <si>
    <t>sardineai</t>
  </si>
  <si>
    <t>https://pitchbook.com/profiles/company/458583-04</t>
  </si>
  <si>
    <t>https://x.com/sardine</t>
  </si>
  <si>
    <t>starfighters-space</t>
  </si>
  <si>
    <t>Starfighters Space</t>
  </si>
  <si>
    <t>starfightersspace.com</t>
  </si>
  <si>
    <t>starfighers-space</t>
  </si>
  <si>
    <t>https://pitchbook.com/profiles/company/509239-00</t>
  </si>
  <si>
    <t>Esk Film Services</t>
  </si>
  <si>
    <t>esk.live</t>
  </si>
  <si>
    <t>esklive</t>
  </si>
  <si>
    <t>Tessera Labs</t>
  </si>
  <si>
    <t>tesseralabs.ai</t>
  </si>
  <si>
    <t>tesseralabsai</t>
  </si>
  <si>
    <t>https://pitchbook.com/profiles/company/903849-04</t>
  </si>
  <si>
    <t>Espa</t>
  </si>
  <si>
    <t>espa.ai</t>
  </si>
  <si>
    <t>https://pitchbook.com/profiles/company/1158805-54</t>
  </si>
  <si>
    <t>Abundance</t>
  </si>
  <si>
    <t>abundanceco.com</t>
  </si>
  <si>
    <t>gigfinesse</t>
  </si>
  <si>
    <t>GigFinesse</t>
  </si>
  <si>
    <t>gigfinesse.com</t>
  </si>
  <si>
    <t>https://pitchbook.com/profiles/company/277791-31</t>
  </si>
  <si>
    <t>domin</t>
  </si>
  <si>
    <t>Domin</t>
  </si>
  <si>
    <t>domin.com</t>
  </si>
  <si>
    <t>domin-fluid-power</t>
  </si>
  <si>
    <t>https://pitchbook.com/profiles/company/467187-04</t>
  </si>
  <si>
    <t>multiverse-io</t>
  </si>
  <si>
    <t>Multiverse</t>
  </si>
  <si>
    <t>multiverse.io</t>
  </si>
  <si>
    <t>joinmultiverse</t>
  </si>
  <si>
    <t>https://pitchbook.com/profiles/company/232702-39</t>
  </si>
  <si>
    <t>https://x.com/joinmultiverse</t>
  </si>
  <si>
    <t>hera-f6b8</t>
  </si>
  <si>
    <t>Hera</t>
  </si>
  <si>
    <t>hellohera.com</t>
  </si>
  <si>
    <t>hellohera</t>
  </si>
  <si>
    <t>https://x.com/hellotohera</t>
  </si>
  <si>
    <t>mirus-0a21</t>
  </si>
  <si>
    <t>MiRus</t>
  </si>
  <si>
    <t>mirusmed.com</t>
  </si>
  <si>
    <t>mirus-spine-and-orthopaedics</t>
  </si>
  <si>
    <t>https://pitchbook.com/profiles/company/168307-84</t>
  </si>
  <si>
    <t>https://x.com/mirusmed</t>
  </si>
  <si>
    <t>AmericanFortress</t>
  </si>
  <si>
    <t>americanfortress.io</t>
  </si>
  <si>
    <t>https://x.com/americanfort_io</t>
  </si>
  <si>
    <t>agilink</t>
  </si>
  <si>
    <t>AGILINK</t>
  </si>
  <si>
    <t>itsgloria.ai</t>
  </si>
  <si>
    <t>Jetty</t>
  </si>
  <si>
    <t>jetty.io</t>
  </si>
  <si>
    <t>jetty-ai</t>
  </si>
  <si>
    <t>unlisted-06b8</t>
  </si>
  <si>
    <t>UNLISTED</t>
  </si>
  <si>
    <t>unlistedhomes.com</t>
  </si>
  <si>
    <t>unlistedinc</t>
  </si>
  <si>
    <t>https://pitchbook.com/profiles/company/539581-51</t>
  </si>
  <si>
    <t>qura</t>
  </si>
  <si>
    <t>Qura</t>
  </si>
  <si>
    <t>qura.co</t>
  </si>
  <si>
    <t>qurahealth</t>
  </si>
  <si>
    <t>synthflow-ai</t>
  </si>
  <si>
    <t>SynthFlow AI</t>
  </si>
  <si>
    <t>synthflow.ai</t>
  </si>
  <si>
    <t>synthflowai</t>
  </si>
  <si>
    <t>https://pitchbook.com/profiles/company/535509-55</t>
  </si>
  <si>
    <t>https://twitter.com/SynthflowAI</t>
  </si>
  <si>
    <t>arivihan</t>
  </si>
  <si>
    <t>Arivihan</t>
  </si>
  <si>
    <t>arivihan.com</t>
  </si>
  <si>
    <t>https://pitchbook.com/profiles/company/494058-88</t>
  </si>
  <si>
    <t>https://x.com/hark_labs</t>
  </si>
  <si>
    <t>manus-ai</t>
  </si>
  <si>
    <t>Manus</t>
  </si>
  <si>
    <t>manus.im</t>
  </si>
  <si>
    <t>manus-im</t>
  </si>
  <si>
    <t>https://pitchbook.com/profiles/company/533115-91</t>
  </si>
  <si>
    <t>https://x.com/ManusAI_HQ</t>
  </si>
  <si>
    <t>aegisai</t>
  </si>
  <si>
    <t>AegisAI</t>
  </si>
  <si>
    <t>aegisai.ai</t>
  </si>
  <si>
    <t>aegisaisecurity</t>
  </si>
  <si>
    <t>https://pitchbook.com/profiles/company/975620-89</t>
  </si>
  <si>
    <t>gemini-99b2</t>
  </si>
  <si>
    <t>Gemini</t>
  </si>
  <si>
    <t>gemini.com</t>
  </si>
  <si>
    <t>geminitrust</t>
  </si>
  <si>
    <t>https://pitchbook.com/profiles/company/107666-29</t>
  </si>
  <si>
    <t>https://twitter.com/gemini</t>
  </si>
  <si>
    <t>bounce-watch</t>
  </si>
  <si>
    <t>Bounce Watch</t>
  </si>
  <si>
    <t>bouncewatch.com</t>
  </si>
  <si>
    <t>https://pitchbook.com/profiles/company/607432-51</t>
  </si>
  <si>
    <t>simple-energy-4c07</t>
  </si>
  <si>
    <t>Simple Energy</t>
  </si>
  <si>
    <t>simpleenergy.in</t>
  </si>
  <si>
    <t>simple-energy-pvt-ltd</t>
  </si>
  <si>
    <t>https://pitchbook.com/profiles/company/437505-31</t>
  </si>
  <si>
    <t>https://twitter.com/SimpleEnergy_EV</t>
  </si>
  <si>
    <t>stadt-land-netz</t>
  </si>
  <si>
    <t>Stadt.Land.Netz</t>
  </si>
  <si>
    <t>stadtlandnetz.de</t>
  </si>
  <si>
    <t>stadtlandnetz</t>
  </si>
  <si>
    <t>https://pitchbook.com/profiles/company/223388-11</t>
  </si>
  <si>
    <t>signature-athletics</t>
  </si>
  <si>
    <t>Signature Athletics</t>
  </si>
  <si>
    <t>signature-athletics.com</t>
  </si>
  <si>
    <t>https://pitchbook.com/profiles/company/279780-13</t>
  </si>
  <si>
    <t>https://x.com/signaturelax</t>
  </si>
  <si>
    <t>simplismart</t>
  </si>
  <si>
    <t>Simplismart</t>
  </si>
  <si>
    <t>simplismart.ai</t>
  </si>
  <si>
    <t>https://pitchbook.com/profiles/company/521453-71</t>
  </si>
  <si>
    <t>v-tal</t>
  </si>
  <si>
    <t>V.tal</t>
  </si>
  <si>
    <t>vtal.com</t>
  </si>
  <si>
    <t>https://pitchbook.com/profiles/company/58702-06</t>
  </si>
  <si>
    <t>pacific-scientific-energetic-materials</t>
  </si>
  <si>
    <t>Pacific Scientific Energetic Materials Company</t>
  </si>
  <si>
    <t>psemc.com</t>
  </si>
  <si>
    <t>pacific-scientific</t>
  </si>
  <si>
    <t>maka-kids</t>
  </si>
  <si>
    <t>Maka</t>
  </si>
  <si>
    <t>makakids.com</t>
  </si>
  <si>
    <t>maka-media</t>
  </si>
  <si>
    <t>https://pitchbook.com/profiles/company/773243-47</t>
  </si>
  <si>
    <t>botshare</t>
  </si>
  <si>
    <t>Botshare</t>
  </si>
  <si>
    <t>botshare.com</t>
  </si>
  <si>
    <t>https://pitchbook.com/profiles/company/556642-72</t>
  </si>
  <si>
    <t>country-delight</t>
  </si>
  <si>
    <t>Country Delight</t>
  </si>
  <si>
    <t>countrydelight.in</t>
  </si>
  <si>
    <t>countrydelight</t>
  </si>
  <si>
    <t>https://pitchbook.com/profiles/company/167946-67</t>
  </si>
  <si>
    <t>instalimb</t>
  </si>
  <si>
    <t>Instalimb</t>
  </si>
  <si>
    <t>instalimb.com</t>
  </si>
  <si>
    <t>https://pitchbook.com/profiles/company/340723-72</t>
  </si>
  <si>
    <t>https://x.com/instalimb</t>
  </si>
  <si>
    <t>airex</t>
  </si>
  <si>
    <t>AirEx</t>
  </si>
  <si>
    <t>airex.tech</t>
  </si>
  <si>
    <t>airex-technology</t>
  </si>
  <si>
    <t>https://pitchbook.com/profiles/company/232658-92</t>
  </si>
  <si>
    <t>https://x.com/airex_vents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</si>
</sst>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7" fontId="0" fillId="0" borderId="0" xfId="0" applyNumberFormat="1"/>
    <xf numFmtId="22"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048BA-04EF-7245-A081-3D04367A144F}">
  <dimension ref="A1:S1001"/>
  <sheetViews>
    <sheetView workbookViewId="0">
      <selection activeCell="F36" sqref="F36"/>
    </sheetView>
  </sheetViews>
  <sheetFormatPr baseColWidth="10" defaultRowHeight="16" x14ac:dyDescent="0.2"/>
  <cols>
    <col min="1" max="1" width="18.6640625" customWidth="1"/>
    <col min="2" max="2" width="22.6640625" customWidth="1"/>
    <col min="3" max="3" width="15.5" customWidth="1"/>
    <col min="4" max="4" width="20.33203125" customWidth="1"/>
    <col min="5" max="5" width="18" customWidth="1"/>
    <col min="6" max="6" width="16"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t="s">
        <v>20</v>
      </c>
      <c r="C2" t="s">
        <v>21</v>
      </c>
      <c r="D2" t="s">
        <v>22</v>
      </c>
      <c r="E2" t="b">
        <v>0</v>
      </c>
      <c r="F2" t="s">
        <v>23</v>
      </c>
      <c r="G2" t="s">
        <v>24</v>
      </c>
      <c r="H2" t="s">
        <v>25</v>
      </c>
      <c r="I2" t="s">
        <v>26</v>
      </c>
      <c r="J2" t="s">
        <v>27</v>
      </c>
      <c r="K2" t="s">
        <v>28</v>
      </c>
      <c r="L2" t="s">
        <v>29</v>
      </c>
      <c r="M2" t="s">
        <v>26</v>
      </c>
      <c r="N2" t="s">
        <v>26</v>
      </c>
      <c r="O2" t="s">
        <v>30</v>
      </c>
      <c r="P2" t="s">
        <v>26</v>
      </c>
      <c r="Q2" s="1" t="d">
        <v>1950-11-01</v>
      </c>
      <c r="R2" t="s">
        <v>31</v>
      </c>
      <c r="S2" t="s">
        <v>32</v>
      </c>
    </row>
    <row r="3" spans="1:19" x14ac:dyDescent="0.2">
      <c r="A3" t="s">
        <v>33</v>
      </c>
      <c r="B3" t="s">
        <v>33</v>
      </c>
      <c r="C3" t="s">
        <v>34</v>
      </c>
      <c r="D3" t="s">
        <v>22</v>
      </c>
      <c r="E3" t="b">
        <v>0</v>
      </c>
      <c r="F3" t="s">
        <v>23</v>
      </c>
      <c r="G3" t="s">
        <v>35</v>
      </c>
      <c r="H3" t="s">
        <v>36</v>
      </c>
      <c r="I3" s="2" t="d">
        <v>2018-10-09</v>
      </c>
      <c r="J3" t="s">
        <v>27</v>
      </c>
      <c r="K3" t="s">
        <v>37</v>
      </c>
      <c r="L3">
        <v>14523559</v>
      </c>
      <c r="M3" t="s">
        <v>38</v>
      </c>
      <c r="N3" t="s">
        <v>26</v>
      </c>
      <c r="O3" t="s">
        <v>39</v>
      </c>
      <c r="P3" t="s">
        <v>26</v>
      </c>
      <c r="Q3" t="s">
        <v>40</v>
      </c>
      <c r="R3" t="s">
        <v>41</v>
      </c>
      <c r="S3" t="s">
        <v>42</v>
      </c>
    </row>
    <row r="4" spans="1:19" x14ac:dyDescent="0.2">
      <c r="A4" t="s">
        <v>43</v>
      </c>
      <c r="B4" t="s">
        <v>43</v>
      </c>
      <c r="C4" t="s">
        <v>44</v>
      </c>
      <c r="D4" t="s">
        <v>22</v>
      </c>
      <c r="E4" t="b">
        <v>0</v>
      </c>
      <c r="F4" t="s">
        <v>23</v>
      </c>
      <c r="G4" t="s">
        <v>45</v>
      </c>
      <c r="H4" t="s">
        <v>46</v>
      </c>
      <c r="I4" t="s">
        <v>26</v>
      </c>
      <c r="J4" t="s">
        <v>27</v>
      </c>
      <c r="K4" t="s">
        <v>47</v>
      </c>
      <c r="L4" t="s">
        <v>48</v>
      </c>
      <c r="M4" t="s">
        <v>49</v>
      </c>
      <c r="N4" t="s">
        <v>50</v>
      </c>
      <c r="O4" t="s">
        <v>51</v>
      </c>
      <c r="P4" t="s">
        <v>26</v>
      </c>
      <c r="Q4" t="s">
        <v>40</v>
      </c>
      <c r="R4" t="s">
        <v>41</v>
      </c>
      <c r="S4" t="s">
        <v>52</v>
      </c>
    </row>
    <row r="5" spans="1:19" x14ac:dyDescent="0.2">
      <c r="A5" t="s">
        <v>59</v>
      </c>
      <c r="B5" t="s">
        <v>26</v>
      </c>
      <c r="C5" t="s">
        <v>60</v>
      </c>
      <c r="D5" t="s">
        <v>26</v>
      </c>
      <c r="E5" t="s">
        <v>26</v>
      </c>
      <c r="F5" t="s">
        <v>26</v>
      </c>
      <c r="G5" t="s">
        <v>61</v>
      </c>
      <c r="H5" t="s">
        <v>26</v>
      </c>
      <c r="I5" t="s">
        <v>26</v>
      </c>
      <c r="J5" t="s">
        <v>26</v>
      </c>
      <c r="K5" t="s">
        <v>62</v>
      </c>
      <c r="L5" t="s">
        <v>26</v>
      </c>
      <c r="M5" t="s">
        <v>26</v>
      </c>
      <c r="N5" t="s">
        <v>26</v>
      </c>
      <c r="O5" t="s">
        <v>26</v>
      </c>
      <c r="P5" t="s">
        <v>26</v>
      </c>
      <c r="Q5" t="s">
        <v>26</v>
      </c>
      <c r="R5" t="s">
        <v>55</v>
      </c>
      <c r="S5" t="s">
        <v>63</v>
      </c>
    </row>
    <row r="6" spans="1:19" x14ac:dyDescent="0.2">
      <c r="A6" t="s">
        <v>64</v>
      </c>
      <c r="B6" t="s">
        <v>64</v>
      </c>
      <c r="C6" t="s">
        <v>65</v>
      </c>
      <c r="D6" t="s">
        <v>22</v>
      </c>
      <c r="E6" t="b">
        <v>0</v>
      </c>
      <c r="F6" t="s">
        <v>23</v>
      </c>
      <c r="G6" t="s">
        <v>66</v>
      </c>
      <c r="H6" t="s">
        <v>67</v>
      </c>
      <c r="I6" s="2" t="d">
        <v>2021-01-01</v>
      </c>
      <c r="J6" t="s">
        <v>27</v>
      </c>
      <c r="K6" t="s">
        <v>68</v>
      </c>
      <c r="L6" t="s">
        <v>64</v>
      </c>
      <c r="M6" t="s">
        <v>69</v>
      </c>
      <c r="N6" t="s">
        <v>26</v>
      </c>
      <c r="O6" t="s">
        <v>26</v>
      </c>
      <c r="P6" t="s">
        <v>26</v>
      </c>
      <c r="Q6" s="1" t="d">
        <v>1950-11-01</v>
      </c>
      <c r="R6" t="s">
        <v>41</v>
      </c>
      <c r="S6" t="s">
        <v>70</v>
      </c>
    </row>
    <row r="7" spans="1:19" x14ac:dyDescent="0.2">
      <c r="A7" t="s">
        <v>71</v>
      </c>
      <c r="B7" t="s">
        <v>26</v>
      </c>
      <c r="C7" t="s">
        <v>72</v>
      </c>
      <c r="D7" t="s">
        <v>26</v>
      </c>
      <c r="E7" t="s">
        <v>26</v>
      </c>
      <c r="F7" t="s">
        <v>26</v>
      </c>
      <c r="G7" t="s">
        <v>73</v>
      </c>
      <c r="H7" t="s">
        <v>26</v>
      </c>
      <c r="I7" t="s">
        <v>26</v>
      </c>
      <c r="J7" t="s">
        <v>26</v>
      </c>
      <c r="K7" t="s">
        <v>74</v>
      </c>
      <c r="L7" t="s">
        <v>26</v>
      </c>
      <c r="M7" t="s">
        <v>75</v>
      </c>
      <c r="N7" t="s">
        <v>26</v>
      </c>
      <c r="O7" t="s">
        <v>26</v>
      </c>
      <c r="P7" t="s">
        <v>26</v>
      </c>
      <c r="Q7" t="s">
        <v>26</v>
      </c>
      <c r="R7" t="s">
        <v>55</v>
      </c>
      <c r="S7" t="s">
        <v>76</v>
      </c>
    </row>
    <row r="8" spans="1:19" x14ac:dyDescent="0.2">
      <c r="A8" t="s">
        <v>77</v>
      </c>
      <c r="B8" t="s">
        <v>26</v>
      </c>
      <c r="C8" t="s">
        <v>78</v>
      </c>
      <c r="D8" t="s">
        <v>26</v>
      </c>
      <c r="E8" t="s">
        <v>26</v>
      </c>
      <c r="F8" t="s">
        <v>26</v>
      </c>
      <c r="G8" t="s">
        <v>79</v>
      </c>
      <c r="H8" t="s">
        <v>26</v>
      </c>
      <c r="I8" t="s">
        <v>26</v>
      </c>
      <c r="J8" t="s">
        <v>26</v>
      </c>
      <c r="K8" t="s">
        <v>80</v>
      </c>
      <c r="L8" t="s">
        <v>81</v>
      </c>
      <c r="M8" t="s">
        <v>82</v>
      </c>
      <c r="N8" t="s">
        <v>26</v>
      </c>
      <c r="O8" t="s">
        <v>26</v>
      </c>
      <c r="P8" t="s">
        <v>26</v>
      </c>
      <c r="Q8" t="s">
        <v>26</v>
      </c>
      <c r="R8" t="s">
        <v>55</v>
      </c>
      <c r="S8" t="s">
        <v>83</v>
      </c>
    </row>
    <row r="9" spans="1:19" x14ac:dyDescent="0.2">
      <c r="A9" t="s">
        <v>84</v>
      </c>
      <c r="B9" t="s">
        <v>26</v>
      </c>
      <c r="C9" t="s">
        <v>85</v>
      </c>
      <c r="D9" t="s">
        <v>26</v>
      </c>
      <c r="E9" t="s">
        <v>26</v>
      </c>
      <c r="F9" t="s">
        <v>26</v>
      </c>
      <c r="G9" t="s">
        <v>86</v>
      </c>
      <c r="H9" t="s">
        <v>26</v>
      </c>
      <c r="I9" t="s">
        <v>26</v>
      </c>
      <c r="J9" t="s">
        <v>26</v>
      </c>
      <c r="K9" t="s">
        <v>87</v>
      </c>
      <c r="L9" t="s">
        <v>26</v>
      </c>
      <c r="M9" t="s">
        <v>88</v>
      </c>
      <c r="N9" t="s">
        <v>26</v>
      </c>
      <c r="O9" t="s">
        <v>26</v>
      </c>
      <c r="P9" t="s">
        <v>26</v>
      </c>
      <c r="Q9" t="s">
        <v>26</v>
      </c>
      <c r="R9" t="s">
        <v>55</v>
      </c>
      <c r="S9" t="s">
        <v>89</v>
      </c>
    </row>
    <row r="10" spans="1:19" x14ac:dyDescent="0.2">
      <c r="A10" t="s">
        <v>90</v>
      </c>
      <c r="B10" t="s">
        <v>26</v>
      </c>
      <c r="C10" t="s">
        <v>91</v>
      </c>
      <c r="D10" t="s">
        <v>26</v>
      </c>
      <c r="E10" t="s">
        <v>26</v>
      </c>
      <c r="F10" t="s">
        <v>26</v>
      </c>
      <c r="G10" t="s">
        <v>92</v>
      </c>
      <c r="H10" t="s">
        <v>26</v>
      </c>
      <c r="I10" t="s">
        <v>26</v>
      </c>
      <c r="J10" t="s">
        <v>26</v>
      </c>
      <c r="K10" t="s">
        <v>91</v>
      </c>
      <c r="L10" t="s">
        <v>26</v>
      </c>
      <c r="M10" t="s">
        <v>26</v>
      </c>
      <c r="N10" t="s">
        <v>26</v>
      </c>
      <c r="O10" t="s">
        <v>26</v>
      </c>
      <c r="P10" t="s">
        <v>26</v>
      </c>
      <c r="Q10" t="s">
        <v>26</v>
      </c>
      <c r="R10" t="s">
        <v>55</v>
      </c>
      <c r="S10" t="s">
        <v>93</v>
      </c>
    </row>
    <row r="11" spans="1:19" x14ac:dyDescent="0.2">
      <c r="A11" t="s">
        <v>94</v>
      </c>
      <c r="B11" t="s">
        <v>94</v>
      </c>
      <c r="C11" t="s">
        <v>95</v>
      </c>
      <c r="D11" t="s">
        <v>22</v>
      </c>
      <c r="E11" t="b">
        <v>0</v>
      </c>
      <c r="F11" t="s">
        <v>23</v>
      </c>
      <c r="G11" t="s">
        <v>96</v>
      </c>
      <c r="H11" t="s">
        <v>97</v>
      </c>
      <c r="I11" s="2" t="d">
        <v>2019-01-01</v>
      </c>
      <c r="J11" t="s">
        <v>27</v>
      </c>
      <c r="K11" t="s">
        <v>98</v>
      </c>
      <c r="L11" t="s">
        <v>99</v>
      </c>
      <c r="M11" t="s">
        <v>100</v>
      </c>
      <c r="N11" t="s">
        <v>26</v>
      </c>
      <c r="O11" t="s">
        <v>101</v>
      </c>
      <c r="P11" t="s">
        <v>26</v>
      </c>
      <c r="Q11" s="1" t="d">
        <v>1950-11-01</v>
      </c>
      <c r="R11" t="s">
        <v>41</v>
      </c>
      <c r="S11" t="s">
        <v>102</v>
      </c>
    </row>
    <row r="12" spans="1:19" x14ac:dyDescent="0.2">
      <c r="A12" t="s">
        <v>103</v>
      </c>
      <c r="B12" t="s">
        <v>103</v>
      </c>
      <c r="C12" t="s">
        <v>104</v>
      </c>
      <c r="D12" t="s">
        <v>22</v>
      </c>
      <c r="E12" t="b">
        <v>0</v>
      </c>
      <c r="F12" t="s">
        <v>23</v>
      </c>
      <c r="G12" t="s">
        <v>105</v>
      </c>
      <c r="H12" t="s">
        <v>106</v>
      </c>
      <c r="I12" t="s">
        <v>26</v>
      </c>
      <c r="J12" t="s">
        <v>27</v>
      </c>
      <c r="K12" t="s">
        <v>107</v>
      </c>
      <c r="L12" t="s">
        <v>108</v>
      </c>
      <c r="M12" t="s">
        <v>109</v>
      </c>
      <c r="N12" t="s">
        <v>110</v>
      </c>
      <c r="O12" t="s">
        <v>111</v>
      </c>
      <c r="P12" t="s">
        <v>112</v>
      </c>
      <c r="Q12" t="s">
        <v>113</v>
      </c>
      <c r="R12" t="s">
        <v>55</v>
      </c>
      <c r="S12" t="s">
        <v>114</v>
      </c>
    </row>
    <row r="13" spans="1:19" x14ac:dyDescent="0.2">
      <c r="A13" t="s">
        <v>115</v>
      </c>
      <c r="B13" t="s">
        <v>116</v>
      </c>
      <c r="C13" t="s">
        <v>117</v>
      </c>
      <c r="D13" t="s">
        <v>22</v>
      </c>
      <c r="E13" t="b">
        <v>0</v>
      </c>
      <c r="F13" t="s">
        <v>23</v>
      </c>
      <c r="G13" t="s">
        <v>118</v>
      </c>
      <c r="H13" t="s">
        <v>119</v>
      </c>
      <c r="I13" t="s">
        <v>26</v>
      </c>
      <c r="J13" t="s">
        <v>27</v>
      </c>
      <c r="K13" t="s">
        <v>120</v>
      </c>
      <c r="L13" t="s">
        <v>115</v>
      </c>
      <c r="M13" t="s">
        <v>121</v>
      </c>
      <c r="N13" t="s">
        <v>26</v>
      </c>
      <c r="O13" t="s">
        <v>122</v>
      </c>
      <c r="P13" t="s">
        <v>26</v>
      </c>
      <c r="Q13" t="s">
        <v>54</v>
      </c>
      <c r="R13" t="s">
        <v>123</v>
      </c>
      <c r="S13" t="s">
        <v>124</v>
      </c>
    </row>
    <row r="14" spans="1:19" x14ac:dyDescent="0.2">
      <c r="A14" t="s">
        <v>125</v>
      </c>
      <c r="B14" t="s">
        <v>125</v>
      </c>
      <c r="C14" t="s">
        <v>126</v>
      </c>
      <c r="D14" t="s">
        <v>22</v>
      </c>
      <c r="E14" t="b">
        <v>0</v>
      </c>
      <c r="F14" t="s">
        <v>23</v>
      </c>
      <c r="G14" t="s">
        <v>127</v>
      </c>
      <c r="H14" t="s">
        <v>58</v>
      </c>
      <c r="I14" t="s">
        <v>26</v>
      </c>
      <c r="J14" t="s">
        <v>27</v>
      </c>
      <c r="K14" t="s">
        <v>128</v>
      </c>
      <c r="L14" t="s">
        <v>125</v>
      </c>
      <c r="M14" t="s">
        <v>129</v>
      </c>
      <c r="N14" t="s">
        <v>130</v>
      </c>
      <c r="O14" t="s">
        <v>131</v>
      </c>
      <c r="P14" t="s">
        <v>132</v>
      </c>
      <c r="Q14" t="s">
        <v>54</v>
      </c>
      <c r="R14" t="s">
        <v>55</v>
      </c>
      <c r="S14" t="s">
        <v>133</v>
      </c>
    </row>
    <row r="15" spans="1:19" x14ac:dyDescent="0.2">
      <c r="A15" t="s">
        <v>134</v>
      </c>
      <c r="B15" t="s">
        <v>134</v>
      </c>
      <c r="C15" t="s">
        <v>135</v>
      </c>
      <c r="D15" t="s">
        <v>22</v>
      </c>
      <c r="E15" t="b">
        <v>0</v>
      </c>
      <c r="F15" t="s">
        <v>23</v>
      </c>
      <c r="G15" t="s">
        <v>136</v>
      </c>
      <c r="H15" t="s">
        <v>137</v>
      </c>
      <c r="I15" t="s">
        <v>26</v>
      </c>
      <c r="J15" t="s">
        <v>27</v>
      </c>
      <c r="K15" t="s">
        <v>138</v>
      </c>
      <c r="L15" t="s">
        <v>134</v>
      </c>
      <c r="M15" t="s">
        <v>139</v>
      </c>
      <c r="N15" t="s">
        <v>140</v>
      </c>
      <c r="O15" t="s">
        <v>141</v>
      </c>
      <c r="P15">
        <f>91-9513166012</f>
        <v>-9513165921</v>
      </c>
      <c r="Q15" t="s">
        <v>40</v>
      </c>
      <c r="R15" t="s">
        <v>55</v>
      </c>
      <c r="S15" t="s">
        <v>142</v>
      </c>
    </row>
    <row r="16" spans="1:19" x14ac:dyDescent="0.2">
      <c r="A16" t="s">
        <v>143</v>
      </c>
      <c r="B16" t="s">
        <v>143</v>
      </c>
      <c r="C16" t="s">
        <v>144</v>
      </c>
      <c r="D16" t="s">
        <v>22</v>
      </c>
      <c r="E16" t="b">
        <v>0</v>
      </c>
      <c r="F16" t="s">
        <v>23</v>
      </c>
      <c r="G16" t="s">
        <v>145</v>
      </c>
      <c r="H16" t="s">
        <v>146</v>
      </c>
      <c r="I16" s="2" t="d">
        <v>2018-01-01</v>
      </c>
      <c r="J16" t="s">
        <v>27</v>
      </c>
      <c r="K16" t="s">
        <v>147</v>
      </c>
      <c r="L16" t="s">
        <v>148</v>
      </c>
      <c r="M16" t="s">
        <v>149</v>
      </c>
      <c r="N16" t="s">
        <v>26</v>
      </c>
      <c r="O16" t="s">
        <v>26</v>
      </c>
      <c r="P16" t="s">
        <v>150</v>
      </c>
      <c r="Q16" s="1" t="d">
        <v>1950-11-01</v>
      </c>
      <c r="R16" t="s">
        <v>151</v>
      </c>
      <c r="S16" t="s">
        <v>152</v>
      </c>
    </row>
    <row r="17" spans="1:19" x14ac:dyDescent="0.2">
      <c r="A17" t="s">
        <v>153</v>
      </c>
      <c r="B17" t="s">
        <v>26</v>
      </c>
      <c r="C17" t="s">
        <v>154</v>
      </c>
      <c r="D17" t="s">
        <v>26</v>
      </c>
      <c r="E17" t="s">
        <v>26</v>
      </c>
      <c r="F17" t="s">
        <v>26</v>
      </c>
      <c r="G17" t="s">
        <v>155</v>
      </c>
      <c r="H17" t="s">
        <v>26</v>
      </c>
      <c r="I17" t="s">
        <v>26</v>
      </c>
      <c r="J17" t="s">
        <v>26</v>
      </c>
      <c r="K17" t="s">
        <v>156</v>
      </c>
      <c r="L17" t="s">
        <v>157</v>
      </c>
      <c r="M17" t="s">
        <v>158</v>
      </c>
      <c r="N17" t="s">
        <v>26</v>
      </c>
      <c r="O17" t="s">
        <v>26</v>
      </c>
      <c r="P17" t="s">
        <v>26</v>
      </c>
      <c r="Q17" t="s">
        <v>26</v>
      </c>
      <c r="R17" t="s">
        <v>55</v>
      </c>
      <c r="S17" t="s">
        <v>159</v>
      </c>
    </row>
    <row r="18" spans="1:19" x14ac:dyDescent="0.2">
      <c r="A18" t="s">
        <v>160</v>
      </c>
      <c r="B18" t="s">
        <v>26</v>
      </c>
      <c r="C18" t="s">
        <v>161</v>
      </c>
      <c r="D18" t="s">
        <v>26</v>
      </c>
      <c r="E18" t="s">
        <v>26</v>
      </c>
      <c r="F18" t="s">
        <v>26</v>
      </c>
      <c r="G18" t="s">
        <v>162</v>
      </c>
      <c r="H18" t="s">
        <v>26</v>
      </c>
      <c r="I18" t="s">
        <v>26</v>
      </c>
      <c r="J18" t="s">
        <v>26</v>
      </c>
      <c r="K18" t="s">
        <v>163</v>
      </c>
      <c r="L18" t="s">
        <v>160</v>
      </c>
      <c r="M18" t="s">
        <v>164</v>
      </c>
      <c r="N18" t="s">
        <v>26</v>
      </c>
      <c r="O18" t="s">
        <v>26</v>
      </c>
      <c r="P18" t="s">
        <v>26</v>
      </c>
      <c r="Q18" t="s">
        <v>26</v>
      </c>
      <c r="R18" t="s">
        <v>55</v>
      </c>
      <c r="S18" t="s">
        <v>165</v>
      </c>
    </row>
    <row r="19" spans="1:19" x14ac:dyDescent="0.2">
      <c r="A19" t="s">
        <v>166</v>
      </c>
      <c r="B19" t="s">
        <v>26</v>
      </c>
      <c r="C19" t="s">
        <v>167</v>
      </c>
      <c r="D19" t="s">
        <v>26</v>
      </c>
      <c r="E19" t="s">
        <v>26</v>
      </c>
      <c r="F19" t="s">
        <v>26</v>
      </c>
      <c r="G19" t="s">
        <v>168</v>
      </c>
      <c r="H19" t="s">
        <v>26</v>
      </c>
      <c r="I19" t="s">
        <v>26</v>
      </c>
      <c r="J19" t="s">
        <v>26</v>
      </c>
      <c r="K19" t="s">
        <v>26</v>
      </c>
      <c r="L19" t="s">
        <v>26</v>
      </c>
      <c r="M19" t="s">
        <v>26</v>
      </c>
      <c r="N19" t="s">
        <v>26</v>
      </c>
      <c r="O19" t="s">
        <v>26</v>
      </c>
      <c r="P19" t="s">
        <v>26</v>
      </c>
      <c r="Q19" t="s">
        <v>26</v>
      </c>
      <c r="R19" t="s">
        <v>55</v>
      </c>
      <c r="S19" t="s">
        <v>169</v>
      </c>
    </row>
    <row r="20" spans="1:19" x14ac:dyDescent="0.2">
      <c r="A20" t="s">
        <v>170</v>
      </c>
      <c r="B20" t="s">
        <v>170</v>
      </c>
      <c r="C20" t="s">
        <v>171</v>
      </c>
      <c r="D20" t="s">
        <v>22</v>
      </c>
      <c r="E20" t="b">
        <v>0</v>
      </c>
      <c r="F20" t="s">
        <v>23</v>
      </c>
      <c r="G20" t="s">
        <v>172</v>
      </c>
      <c r="H20" t="s">
        <v>173</v>
      </c>
      <c r="I20" t="s">
        <v>26</v>
      </c>
      <c r="J20" t="s">
        <v>27</v>
      </c>
      <c r="K20" t="s">
        <v>174</v>
      </c>
      <c r="L20" t="s">
        <v>170</v>
      </c>
      <c r="M20" t="s">
        <v>175</v>
      </c>
      <c r="N20" t="s">
        <v>176</v>
      </c>
      <c r="O20" t="s">
        <v>177</v>
      </c>
      <c r="P20" t="s">
        <v>26</v>
      </c>
      <c r="Q20" s="1" t="d">
        <v>1950-11-01</v>
      </c>
      <c r="R20" t="s">
        <v>55</v>
      </c>
      <c r="S20" t="s">
        <v>178</v>
      </c>
    </row>
    <row r="21" spans="1:19" x14ac:dyDescent="0.2">
      <c r="A21" t="s">
        <v>179</v>
      </c>
      <c r="B21" t="s">
        <v>26</v>
      </c>
      <c r="C21" t="s">
        <v>180</v>
      </c>
      <c r="D21" t="s">
        <v>26</v>
      </c>
      <c r="E21" t="s">
        <v>26</v>
      </c>
      <c r="F21" t="s">
        <v>26</v>
      </c>
      <c r="G21" t="s">
        <v>181</v>
      </c>
      <c r="H21" t="s">
        <v>26</v>
      </c>
      <c r="I21" t="s">
        <v>26</v>
      </c>
      <c r="J21" t="s">
        <v>26</v>
      </c>
      <c r="K21" t="s">
        <v>182</v>
      </c>
      <c r="L21" t="s">
        <v>179</v>
      </c>
      <c r="M21" t="s">
        <v>183</v>
      </c>
      <c r="N21" t="s">
        <v>26</v>
      </c>
      <c r="O21" t="s">
        <v>26</v>
      </c>
      <c r="P21" t="s">
        <v>26</v>
      </c>
      <c r="Q21" t="s">
        <v>26</v>
      </c>
      <c r="R21" t="s">
        <v>55</v>
      </c>
      <c r="S21" t="s">
        <v>184</v>
      </c>
    </row>
    <row r="22" spans="1:19" x14ac:dyDescent="0.2">
      <c r="A22" t="s">
        <v>185</v>
      </c>
      <c r="B22" t="s">
        <v>185</v>
      </c>
      <c r="C22" t="s">
        <v>186</v>
      </c>
      <c r="D22" t="s">
        <v>22</v>
      </c>
      <c r="E22" t="b">
        <v>0</v>
      </c>
      <c r="F22" t="s">
        <v>23</v>
      </c>
      <c r="G22" t="s">
        <v>187</v>
      </c>
      <c r="H22" t="s">
        <v>188</v>
      </c>
      <c r="I22" t="s">
        <v>26</v>
      </c>
      <c r="J22" t="s">
        <v>27</v>
      </c>
      <c r="K22" t="s">
        <v>189</v>
      </c>
      <c r="L22" t="s">
        <v>190</v>
      </c>
      <c r="M22" t="s">
        <v>26</v>
      </c>
      <c r="N22" t="s">
        <v>26</v>
      </c>
      <c r="O22" t="s">
        <v>191</v>
      </c>
      <c r="P22" t="s">
        <v>26</v>
      </c>
      <c r="Q22" s="3" t="d">
        <v>2026-01-10</v>
      </c>
      <c r="R22" t="s">
        <v>55</v>
      </c>
      <c r="S22" t="s">
        <v>192</v>
      </c>
    </row>
    <row r="23" spans="1:19" x14ac:dyDescent="0.2">
      <c r="A23" t="s">
        <v>193</v>
      </c>
      <c r="B23" t="s">
        <v>193</v>
      </c>
      <c r="C23" t="s">
        <v>194</v>
      </c>
      <c r="D23" t="s">
        <v>22</v>
      </c>
      <c r="E23" t="b">
        <v>0</v>
      </c>
      <c r="F23" t="s">
        <v>23</v>
      </c>
      <c r="G23" t="s">
        <v>195</v>
      </c>
      <c r="H23" t="s">
        <v>196</v>
      </c>
      <c r="I23" t="s">
        <v>26</v>
      </c>
      <c r="J23" t="s">
        <v>27</v>
      </c>
      <c r="K23" t="s">
        <v>197</v>
      </c>
      <c r="L23" t="s">
        <v>193</v>
      </c>
      <c r="M23" t="s">
        <v>198</v>
      </c>
      <c r="N23" t="s">
        <v>26</v>
      </c>
      <c r="O23" t="s">
        <v>199</v>
      </c>
      <c r="P23" t="s">
        <v>26</v>
      </c>
      <c r="Q23" s="3" t="d">
        <v>2026-01-10</v>
      </c>
      <c r="R23" t="s">
        <v>55</v>
      </c>
      <c r="S23" t="s">
        <v>200</v>
      </c>
    </row>
    <row r="24" spans="1:19" x14ac:dyDescent="0.2">
      <c r="A24" t="s">
        <v>201</v>
      </c>
      <c r="B24" t="s">
        <v>201</v>
      </c>
      <c r="C24" t="s">
        <v>202</v>
      </c>
      <c r="D24" t="s">
        <v>22</v>
      </c>
      <c r="E24" t="b">
        <v>0</v>
      </c>
      <c r="F24" t="s">
        <v>23</v>
      </c>
      <c r="G24" t="s">
        <v>203</v>
      </c>
      <c r="H24" t="s">
        <v>58</v>
      </c>
      <c r="I24" t="s">
        <v>26</v>
      </c>
      <c r="J24" t="s">
        <v>27</v>
      </c>
      <c r="K24" t="s">
        <v>204</v>
      </c>
      <c r="L24" t="s">
        <v>201</v>
      </c>
      <c r="M24" t="s">
        <v>26</v>
      </c>
      <c r="N24" t="s">
        <v>205</v>
      </c>
      <c r="O24" t="s">
        <v>206</v>
      </c>
      <c r="P24" t="s">
        <v>26</v>
      </c>
      <c r="Q24" s="1" t="d">
        <v>1950-11-01</v>
      </c>
      <c r="R24" t="s">
        <v>55</v>
      </c>
      <c r="S24" t="s">
        <v>207</v>
      </c>
    </row>
    <row r="25" spans="1:19" x14ac:dyDescent="0.2">
      <c r="A25" t="s">
        <v>208</v>
      </c>
      <c r="B25" t="s">
        <v>209</v>
      </c>
      <c r="C25" t="s">
        <v>210</v>
      </c>
      <c r="D25" t="s">
        <v>22</v>
      </c>
      <c r="E25" t="b">
        <v>0</v>
      </c>
      <c r="F25" t="s">
        <v>23</v>
      </c>
      <c r="G25" t="s">
        <v>211</v>
      </c>
      <c r="H25" t="s">
        <v>212</v>
      </c>
      <c r="I25" t="s">
        <v>26</v>
      </c>
      <c r="J25" t="s">
        <v>27</v>
      </c>
      <c r="K25" t="s">
        <v>213</v>
      </c>
      <c r="L25" t="s">
        <v>214</v>
      </c>
      <c r="M25" t="s">
        <v>215</v>
      </c>
      <c r="N25" t="s">
        <v>216</v>
      </c>
      <c r="O25" t="s">
        <v>217</v>
      </c>
      <c r="P25">
        <f>91-444-353-9444</f>
        <v>-10150</v>
      </c>
      <c r="Q25" t="s">
        <v>218</v>
      </c>
      <c r="R25" t="s">
        <v>55</v>
      </c>
      <c r="S25" t="s">
        <v>219</v>
      </c>
    </row>
    <row r="26" spans="1:19" x14ac:dyDescent="0.2">
      <c r="A26" t="s">
        <v>220</v>
      </c>
      <c r="B26" t="s">
        <v>26</v>
      </c>
      <c r="C26" t="s">
        <v>221</v>
      </c>
      <c r="D26" t="s">
        <v>26</v>
      </c>
      <c r="E26" t="s">
        <v>26</v>
      </c>
      <c r="F26" t="s">
        <v>26</v>
      </c>
      <c r="G26" t="s">
        <v>222</v>
      </c>
      <c r="H26" t="s">
        <v>26</v>
      </c>
      <c r="I26" t="s">
        <v>26</v>
      </c>
      <c r="J26" t="s">
        <v>26</v>
      </c>
      <c r="K26" t="s">
        <v>223</v>
      </c>
      <c r="L26" t="s">
        <v>220</v>
      </c>
      <c r="M26" t="s">
        <v>224</v>
      </c>
      <c r="N26" t="s">
        <v>26</v>
      </c>
      <c r="O26" t="s">
        <v>26</v>
      </c>
      <c r="P26" t="s">
        <v>26</v>
      </c>
      <c r="Q26" t="s">
        <v>26</v>
      </c>
      <c r="R26" t="s">
        <v>225</v>
      </c>
      <c r="S26" t="s">
        <v>226</v>
      </c>
    </row>
    <row r="27" spans="1:19" x14ac:dyDescent="0.2">
      <c r="A27" t="s">
        <v>227</v>
      </c>
      <c r="B27" t="s">
        <v>26</v>
      </c>
      <c r="C27" t="s">
        <v>228</v>
      </c>
      <c r="D27" t="s">
        <v>26</v>
      </c>
      <c r="E27" t="s">
        <v>26</v>
      </c>
      <c r="F27" t="s">
        <v>26</v>
      </c>
      <c r="G27" t="s">
        <v>229</v>
      </c>
      <c r="H27" t="s">
        <v>26</v>
      </c>
      <c r="I27" t="s">
        <v>26</v>
      </c>
      <c r="J27" t="s">
        <v>26</v>
      </c>
      <c r="K27" t="s">
        <v>230</v>
      </c>
      <c r="L27" t="s">
        <v>231</v>
      </c>
      <c r="M27" t="s">
        <v>26</v>
      </c>
      <c r="N27" t="s">
        <v>26</v>
      </c>
      <c r="O27" t="s">
        <v>26</v>
      </c>
      <c r="P27" t="s">
        <v>26</v>
      </c>
      <c r="Q27" t="s">
        <v>26</v>
      </c>
      <c r="R27" t="s">
        <v>225</v>
      </c>
      <c r="S27" t="s">
        <v>232</v>
      </c>
    </row>
    <row r="28" spans="1:19" x14ac:dyDescent="0.2">
      <c r="A28" t="s">
        <v>233</v>
      </c>
      <c r="B28" t="s">
        <v>234</v>
      </c>
      <c r="C28" t="s">
        <v>235</v>
      </c>
      <c r="D28" t="s">
        <v>22</v>
      </c>
      <c r="E28" t="b">
        <v>0</v>
      </c>
      <c r="F28" t="s">
        <v>23</v>
      </c>
      <c r="G28" t="s">
        <v>236</v>
      </c>
      <c r="H28" t="s">
        <v>237</v>
      </c>
      <c r="I28" t="s">
        <v>26</v>
      </c>
      <c r="J28" t="s">
        <v>27</v>
      </c>
      <c r="K28" t="s">
        <v>238</v>
      </c>
      <c r="L28" t="s">
        <v>239</v>
      </c>
      <c r="M28" t="s">
        <v>240</v>
      </c>
      <c r="N28" t="s">
        <v>26</v>
      </c>
      <c r="O28" t="s">
        <v>26</v>
      </c>
      <c r="P28" t="s">
        <v>241</v>
      </c>
      <c r="Q28" s="1" t="d">
        <v>1950-11-01</v>
      </c>
      <c r="R28" t="s">
        <v>225</v>
      </c>
      <c r="S28" t="s">
        <v>242</v>
      </c>
    </row>
    <row r="29" spans="1:19" x14ac:dyDescent="0.2">
      <c r="A29" t="s">
        <v>243</v>
      </c>
      <c r="B29" t="s">
        <v>243</v>
      </c>
      <c r="C29" t="s">
        <v>244</v>
      </c>
      <c r="D29" t="s">
        <v>22</v>
      </c>
      <c r="E29" t="b">
        <v>0</v>
      </c>
      <c r="F29" t="s">
        <v>23</v>
      </c>
      <c r="G29" t="s">
        <v>245</v>
      </c>
      <c r="H29" t="s">
        <v>246</v>
      </c>
      <c r="I29" t="s">
        <v>26</v>
      </c>
      <c r="J29" t="s">
        <v>27</v>
      </c>
      <c r="K29" t="s">
        <v>247</v>
      </c>
      <c r="L29" t="s">
        <v>248</v>
      </c>
      <c r="M29" t="s">
        <v>249</v>
      </c>
      <c r="N29" t="s">
        <v>26</v>
      </c>
      <c r="O29" t="s">
        <v>250</v>
      </c>
      <c r="P29" t="s">
        <v>251</v>
      </c>
      <c r="Q29" s="1" t="d">
        <v>1950-11-01</v>
      </c>
      <c r="R29" t="s">
        <v>225</v>
      </c>
      <c r="S29" t="s">
        <v>252</v>
      </c>
    </row>
    <row r="30" spans="1:19" x14ac:dyDescent="0.2">
      <c r="A30" t="s">
        <v>253</v>
      </c>
      <c r="B30" t="s">
        <v>26</v>
      </c>
      <c r="C30" t="s">
        <v>254</v>
      </c>
      <c r="D30" t="s">
        <v>26</v>
      </c>
      <c r="E30" t="s">
        <v>26</v>
      </c>
      <c r="F30" t="s">
        <v>26</v>
      </c>
      <c r="G30" t="s">
        <v>255</v>
      </c>
      <c r="H30" t="s">
        <v>26</v>
      </c>
      <c r="I30" t="s">
        <v>26</v>
      </c>
      <c r="J30" t="s">
        <v>26</v>
      </c>
      <c r="K30" t="s">
        <v>26</v>
      </c>
      <c r="L30" t="s">
        <v>26</v>
      </c>
      <c r="M30" t="s">
        <v>26</v>
      </c>
      <c r="N30" t="s">
        <v>26</v>
      </c>
      <c r="O30" t="s">
        <v>26</v>
      </c>
      <c r="P30" t="s">
        <v>26</v>
      </c>
      <c r="Q30" t="s">
        <v>26</v>
      </c>
      <c r="R30" t="s">
        <v>225</v>
      </c>
      <c r="S30" t="s">
        <v>256</v>
      </c>
    </row>
    <row r="31" spans="1:19" x14ac:dyDescent="0.2">
      <c r="A31" t="s">
        <v>257</v>
      </c>
      <c r="B31" t="s">
        <v>26</v>
      </c>
      <c r="C31" t="s">
        <v>258</v>
      </c>
      <c r="D31" t="s">
        <v>26</v>
      </c>
      <c r="E31" t="s">
        <v>26</v>
      </c>
      <c r="F31" t="s">
        <v>26</v>
      </c>
      <c r="G31" t="s">
        <v>259</v>
      </c>
      <c r="H31" t="s">
        <v>26</v>
      </c>
      <c r="I31" t="s">
        <v>26</v>
      </c>
      <c r="J31" t="s">
        <v>26</v>
      </c>
      <c r="K31" t="s">
        <v>26</v>
      </c>
      <c r="L31" t="s">
        <v>26</v>
      </c>
      <c r="M31" t="s">
        <v>26</v>
      </c>
      <c r="N31" t="s">
        <v>26</v>
      </c>
      <c r="O31" t="s">
        <v>26</v>
      </c>
      <c r="P31" t="s">
        <v>26</v>
      </c>
      <c r="Q31" t="s">
        <v>26</v>
      </c>
      <c r="R31" t="s">
        <v>225</v>
      </c>
      <c r="S31" t="s">
        <v>260</v>
      </c>
    </row>
    <row r="32" spans="1:19" x14ac:dyDescent="0.2">
      <c r="A32" t="s">
        <v>261</v>
      </c>
      <c r="B32" t="s">
        <v>26</v>
      </c>
      <c r="C32" t="s">
        <v>262</v>
      </c>
      <c r="D32" t="s">
        <v>26</v>
      </c>
      <c r="E32" t="s">
        <v>26</v>
      </c>
      <c r="F32" t="s">
        <v>26</v>
      </c>
      <c r="G32" t="s">
        <v>263</v>
      </c>
      <c r="H32" t="s">
        <v>26</v>
      </c>
      <c r="I32" t="s">
        <v>26</v>
      </c>
      <c r="J32" t="s">
        <v>26</v>
      </c>
      <c r="K32" t="s">
        <v>26</v>
      </c>
      <c r="L32" t="s">
        <v>26</v>
      </c>
      <c r="M32" t="s">
        <v>26</v>
      </c>
      <c r="N32" t="s">
        <v>26</v>
      </c>
      <c r="O32" t="s">
        <v>26</v>
      </c>
      <c r="P32" t="s">
        <v>26</v>
      </c>
      <c r="Q32" t="s">
        <v>26</v>
      </c>
      <c r="R32" t="s">
        <v>225</v>
      </c>
      <c r="S32" t="s">
        <v>264</v>
      </c>
    </row>
    <row r="33" spans="1:19" x14ac:dyDescent="0.2">
      <c r="A33" t="s">
        <v>265</v>
      </c>
      <c r="B33" t="s">
        <v>26</v>
      </c>
      <c r="C33" t="s">
        <v>266</v>
      </c>
      <c r="D33" t="s">
        <v>26</v>
      </c>
      <c r="E33" t="s">
        <v>26</v>
      </c>
      <c r="F33" t="s">
        <v>26</v>
      </c>
      <c r="G33" t="s">
        <v>267</v>
      </c>
      <c r="H33" t="s">
        <v>26</v>
      </c>
      <c r="I33" t="s">
        <v>26</v>
      </c>
      <c r="J33" t="s">
        <v>26</v>
      </c>
      <c r="K33" t="s">
        <v>268</v>
      </c>
      <c r="L33" t="s">
        <v>265</v>
      </c>
      <c r="M33" t="s">
        <v>26</v>
      </c>
      <c r="N33" t="s">
        <v>26</v>
      </c>
      <c r="O33" t="s">
        <v>26</v>
      </c>
      <c r="P33" t="s">
        <v>26</v>
      </c>
      <c r="Q33" t="s">
        <v>26</v>
      </c>
      <c r="R33" t="s">
        <v>269</v>
      </c>
      <c r="S33" t="s">
        <v>270</v>
      </c>
    </row>
    <row r="34" spans="1:19" x14ac:dyDescent="0.2">
      <c r="A34" t="s">
        <v>271</v>
      </c>
      <c r="B34" t="s">
        <v>26</v>
      </c>
      <c r="C34" t="s">
        <v>272</v>
      </c>
      <c r="D34" t="s">
        <v>26</v>
      </c>
      <c r="E34" t="s">
        <v>26</v>
      </c>
      <c r="F34" t="s">
        <v>26</v>
      </c>
      <c r="G34" t="s">
        <v>273</v>
      </c>
      <c r="H34" t="s">
        <v>26</v>
      </c>
      <c r="I34" t="s">
        <v>26</v>
      </c>
      <c r="J34" t="s">
        <v>26</v>
      </c>
      <c r="K34" t="s">
        <v>274</v>
      </c>
      <c r="L34" t="s">
        <v>26</v>
      </c>
      <c r="M34" t="s">
        <v>26</v>
      </c>
      <c r="N34" t="s">
        <v>26</v>
      </c>
      <c r="O34" t="s">
        <v>26</v>
      </c>
      <c r="P34" t="s">
        <v>26</v>
      </c>
      <c r="Q34" t="s">
        <v>26</v>
      </c>
      <c r="R34" t="s">
        <v>225</v>
      </c>
      <c r="S34" t="s">
        <v>275</v>
      </c>
    </row>
    <row r="35" spans="1:19" x14ac:dyDescent="0.2">
      <c r="A35" t="s">
        <v>276</v>
      </c>
      <c r="B35" t="s">
        <v>26</v>
      </c>
      <c r="C35" t="s">
        <v>277</v>
      </c>
      <c r="D35" t="s">
        <v>26</v>
      </c>
      <c r="E35" t="s">
        <v>26</v>
      </c>
      <c r="F35" t="s">
        <v>26</v>
      </c>
      <c r="G35" t="s">
        <v>278</v>
      </c>
      <c r="H35" t="s">
        <v>26</v>
      </c>
      <c r="I35" t="s">
        <v>26</v>
      </c>
      <c r="J35" t="s">
        <v>26</v>
      </c>
      <c r="K35" t="s">
        <v>26</v>
      </c>
      <c r="L35" t="s">
        <v>26</v>
      </c>
      <c r="M35" t="s">
        <v>26</v>
      </c>
      <c r="N35" t="s">
        <v>26</v>
      </c>
      <c r="O35" t="s">
        <v>26</v>
      </c>
      <c r="P35" t="s">
        <v>26</v>
      </c>
      <c r="Q35" t="s">
        <v>26</v>
      </c>
      <c r="R35" t="s">
        <v>225</v>
      </c>
      <c r="S35" t="s">
        <v>279</v>
      </c>
    </row>
    <row r="36" spans="1:19" x14ac:dyDescent="0.2">
      <c r="A36" t="s">
        <v>280</v>
      </c>
      <c r="B36" t="s">
        <v>26</v>
      </c>
      <c r="C36" t="s">
        <v>281</v>
      </c>
      <c r="D36" t="s">
        <v>26</v>
      </c>
      <c r="E36" t="s">
        <v>26</v>
      </c>
      <c r="F36" t="s">
        <v>26</v>
      </c>
      <c r="G36" t="s">
        <v>282</v>
      </c>
      <c r="H36" t="s">
        <v>26</v>
      </c>
      <c r="I36" t="s">
        <v>26</v>
      </c>
      <c r="J36" t="s">
        <v>26</v>
      </c>
      <c r="K36" t="s">
        <v>26</v>
      </c>
      <c r="L36" t="s">
        <v>26</v>
      </c>
      <c r="M36" t="s">
        <v>26</v>
      </c>
      <c r="N36" t="s">
        <v>26</v>
      </c>
      <c r="O36" t="s">
        <v>26</v>
      </c>
      <c r="P36" t="s">
        <v>26</v>
      </c>
      <c r="Q36" t="s">
        <v>26</v>
      </c>
      <c r="R36" t="s">
        <v>225</v>
      </c>
      <c r="S36" t="s">
        <v>283</v>
      </c>
    </row>
    <row r="37" spans="1:19" x14ac:dyDescent="0.2">
      <c r="A37" t="s">
        <v>284</v>
      </c>
      <c r="B37" t="s">
        <v>26</v>
      </c>
      <c r="C37" t="s">
        <v>285</v>
      </c>
      <c r="D37" t="s">
        <v>26</v>
      </c>
      <c r="E37" t="s">
        <v>26</v>
      </c>
      <c r="F37" t="s">
        <v>26</v>
      </c>
      <c r="G37" t="s">
        <v>286</v>
      </c>
      <c r="H37" t="s">
        <v>26</v>
      </c>
      <c r="I37" t="s">
        <v>26</v>
      </c>
      <c r="J37" t="s">
        <v>26</v>
      </c>
      <c r="K37" t="s">
        <v>287</v>
      </c>
      <c r="L37" t="s">
        <v>288</v>
      </c>
      <c r="M37" t="s">
        <v>26</v>
      </c>
      <c r="N37" t="s">
        <v>26</v>
      </c>
      <c r="O37" t="s">
        <v>26</v>
      </c>
      <c r="P37" t="s">
        <v>26</v>
      </c>
      <c r="Q37" t="s">
        <v>26</v>
      </c>
      <c r="R37" t="s">
        <v>225</v>
      </c>
      <c r="S37" t="s">
        <v>289</v>
      </c>
    </row>
    <row r="38" spans="1:19" x14ac:dyDescent="0.2">
      <c r="A38" t="s">
        <v>290</v>
      </c>
      <c r="B38" t="s">
        <v>26</v>
      </c>
      <c r="C38" t="s">
        <v>291</v>
      </c>
      <c r="D38" t="s">
        <v>26</v>
      </c>
      <c r="E38" t="s">
        <v>26</v>
      </c>
      <c r="F38" t="s">
        <v>26</v>
      </c>
      <c r="G38" t="s">
        <v>292</v>
      </c>
      <c r="H38" t="s">
        <v>26</v>
      </c>
      <c r="I38" t="s">
        <v>26</v>
      </c>
      <c r="J38" t="s">
        <v>26</v>
      </c>
      <c r="K38" t="s">
        <v>293</v>
      </c>
      <c r="L38" t="s">
        <v>290</v>
      </c>
      <c r="M38" t="s">
        <v>26</v>
      </c>
      <c r="N38" t="s">
        <v>26</v>
      </c>
      <c r="O38" t="s">
        <v>26</v>
      </c>
      <c r="P38" t="s">
        <v>26</v>
      </c>
      <c r="Q38" t="s">
        <v>26</v>
      </c>
      <c r="R38" t="s">
        <v>225</v>
      </c>
      <c r="S38" t="s">
        <v>294</v>
      </c>
    </row>
    <row r="39" spans="1:19" x14ac:dyDescent="0.2">
      <c r="A39" t="s">
        <v>295</v>
      </c>
      <c r="B39" t="s">
        <v>26</v>
      </c>
      <c r="C39" t="s">
        <v>296</v>
      </c>
      <c r="D39" t="s">
        <v>26</v>
      </c>
      <c r="E39" t="s">
        <v>26</v>
      </c>
      <c r="F39" t="s">
        <v>26</v>
      </c>
      <c r="G39" t="s">
        <v>297</v>
      </c>
      <c r="H39" t="s">
        <v>26</v>
      </c>
      <c r="I39" t="s">
        <v>26</v>
      </c>
      <c r="J39" t="s">
        <v>26</v>
      </c>
      <c r="K39" t="s">
        <v>26</v>
      </c>
      <c r="L39" t="s">
        <v>26</v>
      </c>
      <c r="M39" t="s">
        <v>26</v>
      </c>
      <c r="N39" t="s">
        <v>26</v>
      </c>
      <c r="O39" t="s">
        <v>26</v>
      </c>
      <c r="P39" t="s">
        <v>26</v>
      </c>
      <c r="Q39" t="s">
        <v>26</v>
      </c>
      <c r="R39" t="s">
        <v>225</v>
      </c>
      <c r="S39" t="s">
        <v>298</v>
      </c>
    </row>
    <row r="40" spans="1:19" x14ac:dyDescent="0.2">
      <c r="A40" t="s">
        <v>299</v>
      </c>
      <c r="B40" t="s">
        <v>26</v>
      </c>
      <c r="C40" t="s">
        <v>300</v>
      </c>
      <c r="D40" t="s">
        <v>26</v>
      </c>
      <c r="E40" t="s">
        <v>26</v>
      </c>
      <c r="F40" t="s">
        <v>26</v>
      </c>
      <c r="G40" t="s">
        <v>301</v>
      </c>
      <c r="H40" t="s">
        <v>26</v>
      </c>
      <c r="I40" t="s">
        <v>26</v>
      </c>
      <c r="J40" t="s">
        <v>26</v>
      </c>
      <c r="K40" t="s">
        <v>302</v>
      </c>
      <c r="L40" t="s">
        <v>303</v>
      </c>
      <c r="M40" t="s">
        <v>304</v>
      </c>
      <c r="N40" t="s">
        <v>305</v>
      </c>
      <c r="O40" t="s">
        <v>26</v>
      </c>
      <c r="P40" t="s">
        <v>26</v>
      </c>
      <c r="Q40" t="s">
        <v>26</v>
      </c>
      <c r="R40" t="s">
        <v>269</v>
      </c>
      <c r="S40" t="s">
        <v>306</v>
      </c>
    </row>
    <row r="41" spans="1:19" x14ac:dyDescent="0.2">
      <c r="A41" t="s">
        <v>307</v>
      </c>
      <c r="B41" t="s">
        <v>26</v>
      </c>
      <c r="C41" t="s">
        <v>308</v>
      </c>
      <c r="D41" t="s">
        <v>26</v>
      </c>
      <c r="E41" t="s">
        <v>26</v>
      </c>
      <c r="F41" t="s">
        <v>26</v>
      </c>
      <c r="G41" t="s">
        <v>309</v>
      </c>
      <c r="H41" t="s">
        <v>26</v>
      </c>
      <c r="I41" t="s">
        <v>26</v>
      </c>
      <c r="J41" t="s">
        <v>26</v>
      </c>
      <c r="K41" t="s">
        <v>310</v>
      </c>
      <c r="L41" t="s">
        <v>311</v>
      </c>
      <c r="M41" t="s">
        <v>312</v>
      </c>
      <c r="N41" t="s">
        <v>26</v>
      </c>
      <c r="O41" t="s">
        <v>26</v>
      </c>
      <c r="P41" t="s">
        <v>26</v>
      </c>
      <c r="Q41" t="s">
        <v>26</v>
      </c>
      <c r="R41" t="s">
        <v>269</v>
      </c>
      <c r="S41" t="s">
        <v>313</v>
      </c>
    </row>
    <row r="42" spans="1:19" x14ac:dyDescent="0.2">
      <c r="A42" t="s">
        <v>314</v>
      </c>
      <c r="B42" t="s">
        <v>315</v>
      </c>
      <c r="C42" t="s">
        <v>316</v>
      </c>
      <c r="D42" t="s">
        <v>22</v>
      </c>
      <c r="E42" t="b">
        <v>0</v>
      </c>
      <c r="F42" t="s">
        <v>23</v>
      </c>
      <c r="G42" t="s">
        <v>317</v>
      </c>
      <c r="H42" t="s">
        <v>26</v>
      </c>
      <c r="I42" t="s">
        <v>26</v>
      </c>
      <c r="J42" t="s">
        <v>27</v>
      </c>
      <c r="K42" t="s">
        <v>318</v>
      </c>
      <c r="L42" t="s">
        <v>315</v>
      </c>
      <c r="M42" t="s">
        <v>319</v>
      </c>
      <c r="N42" t="s">
        <v>320</v>
      </c>
      <c r="O42" t="s">
        <v>26</v>
      </c>
      <c r="P42" t="s">
        <v>26</v>
      </c>
      <c r="Q42" s="1" t="d">
        <v>1950-11-01</v>
      </c>
      <c r="R42" t="s">
        <v>269</v>
      </c>
      <c r="S42" t="s">
        <v>321</v>
      </c>
    </row>
    <row r="43" spans="1:19" x14ac:dyDescent="0.2">
      <c r="A43" t="s">
        <v>322</v>
      </c>
      <c r="B43" t="s">
        <v>322</v>
      </c>
      <c r="C43" t="s">
        <v>323</v>
      </c>
      <c r="D43" t="s">
        <v>22</v>
      </c>
      <c r="E43" t="b">
        <v>0</v>
      </c>
      <c r="F43" t="s">
        <v>26</v>
      </c>
      <c r="G43" t="s">
        <v>324</v>
      </c>
      <c r="H43" t="s">
        <v>325</v>
      </c>
      <c r="I43" t="s">
        <v>26</v>
      </c>
      <c r="J43" t="s">
        <v>27</v>
      </c>
      <c r="K43" t="s">
        <v>326</v>
      </c>
      <c r="L43" t="s">
        <v>327</v>
      </c>
      <c r="M43" t="s">
        <v>328</v>
      </c>
      <c r="N43" t="s">
        <v>26</v>
      </c>
      <c r="O43" t="s">
        <v>329</v>
      </c>
      <c r="P43">
        <f>353-1-5310663</f>
        <v>-5310311</v>
      </c>
      <c r="Q43" s="3" t="d">
        <v>2026-01-10</v>
      </c>
      <c r="R43" t="s">
        <v>269</v>
      </c>
      <c r="S43" t="s">
        <v>330</v>
      </c>
    </row>
    <row r="44" spans="1:19" x14ac:dyDescent="0.2">
      <c r="A44" t="s">
        <v>331</v>
      </c>
      <c r="B44" t="s">
        <v>26</v>
      </c>
      <c r="C44" t="s">
        <v>332</v>
      </c>
      <c r="D44" t="s">
        <v>26</v>
      </c>
      <c r="E44" t="s">
        <v>26</v>
      </c>
      <c r="F44" t="s">
        <v>26</v>
      </c>
      <c r="G44" t="s">
        <v>333</v>
      </c>
      <c r="H44" t="s">
        <v>26</v>
      </c>
      <c r="I44" t="s">
        <v>26</v>
      </c>
      <c r="J44" t="s">
        <v>26</v>
      </c>
      <c r="K44" t="s">
        <v>26</v>
      </c>
      <c r="L44" t="s">
        <v>26</v>
      </c>
      <c r="M44" t="s">
        <v>26</v>
      </c>
      <c r="N44" t="s">
        <v>26</v>
      </c>
      <c r="O44" t="s">
        <v>26</v>
      </c>
      <c r="P44" t="s">
        <v>26</v>
      </c>
      <c r="Q44" t="s">
        <v>26</v>
      </c>
      <c r="R44" t="s">
        <v>269</v>
      </c>
      <c r="S44" t="s">
        <v>334</v>
      </c>
    </row>
    <row r="45" spans="1:19" x14ac:dyDescent="0.2">
      <c r="A45" t="s">
        <v>335</v>
      </c>
      <c r="B45" t="s">
        <v>336</v>
      </c>
      <c r="C45" t="s">
        <v>337</v>
      </c>
      <c r="D45" t="s">
        <v>22</v>
      </c>
      <c r="E45" t="b">
        <v>0</v>
      </c>
      <c r="F45" t="s">
        <v>23</v>
      </c>
      <c r="G45" t="s">
        <v>338</v>
      </c>
      <c r="H45" t="s">
        <v>339</v>
      </c>
      <c r="I45" s="2" t="d">
        <v>2014-01-01</v>
      </c>
      <c r="J45" t="s">
        <v>27</v>
      </c>
      <c r="K45" t="s">
        <v>340</v>
      </c>
      <c r="L45" t="s">
        <v>336</v>
      </c>
      <c r="M45" t="s">
        <v>26</v>
      </c>
      <c r="N45" t="s">
        <v>341</v>
      </c>
      <c r="O45" t="s">
        <v>342</v>
      </c>
      <c r="P45" t="s">
        <v>343</v>
      </c>
      <c r="Q45" s="1" t="d">
        <v>1950-11-01</v>
      </c>
      <c r="R45" t="s">
        <v>41</v>
      </c>
      <c r="S45" t="s">
        <v>344</v>
      </c>
    </row>
    <row r="46" spans="1:19" x14ac:dyDescent="0.2">
      <c r="A46" t="s">
        <v>345</v>
      </c>
      <c r="B46" t="s">
        <v>346</v>
      </c>
      <c r="C46" t="s">
        <v>347</v>
      </c>
      <c r="D46" t="s">
        <v>22</v>
      </c>
      <c r="E46" t="b">
        <v>0</v>
      </c>
      <c r="F46" t="s">
        <v>23</v>
      </c>
      <c r="G46" t="s">
        <v>348</v>
      </c>
      <c r="H46" t="s">
        <v>349</v>
      </c>
      <c r="I46" t="s">
        <v>26</v>
      </c>
      <c r="J46" t="s">
        <v>27</v>
      </c>
      <c r="K46" t="s">
        <v>350</v>
      </c>
      <c r="L46" t="s">
        <v>346</v>
      </c>
      <c r="M46" t="s">
        <v>351</v>
      </c>
      <c r="N46" t="s">
        <v>26</v>
      </c>
      <c r="O46" t="s">
        <v>352</v>
      </c>
      <c r="P46">
        <v>5633224014</v>
      </c>
      <c r="Q46" s="1" t="d">
        <v>1950-11-01</v>
      </c>
      <c r="R46" t="s">
        <v>353</v>
      </c>
      <c r="S46" t="s">
        <v>354</v>
      </c>
    </row>
    <row r="47" spans="1:19" x14ac:dyDescent="0.2">
      <c r="A47" t="s">
        <v>355</v>
      </c>
      <c r="B47" t="s">
        <v>355</v>
      </c>
      <c r="C47" t="s">
        <v>356</v>
      </c>
      <c r="D47" t="s">
        <v>22</v>
      </c>
      <c r="E47" t="b">
        <v>0</v>
      </c>
      <c r="F47" t="s">
        <v>23</v>
      </c>
      <c r="G47" t="s">
        <v>357</v>
      </c>
      <c r="H47" t="s">
        <v>358</v>
      </c>
      <c r="I47" t="s">
        <v>26</v>
      </c>
      <c r="J47" t="s">
        <v>27</v>
      </c>
      <c r="K47" t="s">
        <v>359</v>
      </c>
      <c r="L47" t="s">
        <v>355</v>
      </c>
      <c r="M47" t="s">
        <v>360</v>
      </c>
      <c r="N47" t="s">
        <v>361</v>
      </c>
      <c r="O47" t="s">
        <v>26</v>
      </c>
      <c r="P47" t="s">
        <v>362</v>
      </c>
      <c r="Q47" t="s">
        <v>40</v>
      </c>
      <c r="R47" t="s">
        <v>363</v>
      </c>
      <c r="S47" t="s">
        <v>364</v>
      </c>
    </row>
    <row r="48" spans="1:19" x14ac:dyDescent="0.2">
      <c r="A48" t="s">
        <v>365</v>
      </c>
      <c r="B48" t="s">
        <v>365</v>
      </c>
      <c r="C48" t="s">
        <v>366</v>
      </c>
      <c r="D48" t="s">
        <v>22</v>
      </c>
      <c r="E48" t="b">
        <v>0</v>
      </c>
      <c r="F48" t="s">
        <v>23</v>
      </c>
      <c r="G48" t="s">
        <v>367</v>
      </c>
      <c r="H48" t="s">
        <v>368</v>
      </c>
      <c r="I48" s="2" t="d">
        <v>2023-01-01</v>
      </c>
      <c r="J48" t="s">
        <v>27</v>
      </c>
      <c r="K48" t="s">
        <v>369</v>
      </c>
      <c r="L48" t="s">
        <v>365</v>
      </c>
      <c r="M48" t="s">
        <v>370</v>
      </c>
      <c r="N48" t="s">
        <v>26</v>
      </c>
      <c r="O48" t="s">
        <v>26</v>
      </c>
      <c r="P48">
        <v>6378743237</v>
      </c>
      <c r="Q48" s="1" t="d">
        <v>1950-11-01</v>
      </c>
      <c r="R48" t="s">
        <v>371</v>
      </c>
      <c r="S48" t="s">
        <v>372</v>
      </c>
    </row>
    <row r="49" spans="1:19" x14ac:dyDescent="0.2">
      <c r="A49" t="s">
        <v>373</v>
      </c>
      <c r="B49" t="s">
        <v>373</v>
      </c>
      <c r="C49" t="s">
        <v>374</v>
      </c>
      <c r="D49" t="s">
        <v>22</v>
      </c>
      <c r="E49" t="b">
        <v>0</v>
      </c>
      <c r="F49" t="s">
        <v>23</v>
      </c>
      <c r="G49" t="s">
        <v>375</v>
      </c>
      <c r="H49" t="s">
        <v>173</v>
      </c>
      <c r="I49" s="2" t="d">
        <v>2020-01-01</v>
      </c>
      <c r="J49" t="s">
        <v>27</v>
      </c>
      <c r="K49" t="s">
        <v>376</v>
      </c>
      <c r="L49" t="s">
        <v>373</v>
      </c>
      <c r="M49" t="s">
        <v>377</v>
      </c>
      <c r="N49" t="s">
        <v>378</v>
      </c>
      <c r="O49" t="s">
        <v>26</v>
      </c>
      <c r="P49" t="s">
        <v>26</v>
      </c>
      <c r="Q49" s="1" t="d">
        <v>1950-11-01</v>
      </c>
      <c r="R49" t="s">
        <v>41</v>
      </c>
      <c r="S49" t="s">
        <v>379</v>
      </c>
    </row>
    <row r="50" spans="1:19" x14ac:dyDescent="0.2">
      <c r="A50" t="s">
        <v>380</v>
      </c>
      <c r="B50" t="s">
        <v>26</v>
      </c>
      <c r="C50" t="s">
        <v>381</v>
      </c>
      <c r="D50" t="s">
        <v>26</v>
      </c>
      <c r="E50" t="s">
        <v>26</v>
      </c>
      <c r="F50" t="s">
        <v>26</v>
      </c>
      <c r="G50" t="s">
        <v>382</v>
      </c>
      <c r="H50" t="s">
        <v>26</v>
      </c>
      <c r="I50" t="s">
        <v>26</v>
      </c>
      <c r="J50" t="s">
        <v>26</v>
      </c>
      <c r="K50" t="s">
        <v>26</v>
      </c>
      <c r="L50" t="s">
        <v>26</v>
      </c>
      <c r="M50" t="s">
        <v>26</v>
      </c>
      <c r="N50" t="s">
        <v>26</v>
      </c>
      <c r="O50" t="s">
        <v>26</v>
      </c>
      <c r="P50" t="s">
        <v>26</v>
      </c>
      <c r="Q50" t="s">
        <v>26</v>
      </c>
      <c r="R50" t="s">
        <v>383</v>
      </c>
      <c r="S50" t="s">
        <v>384</v>
      </c>
    </row>
    <row r="51" spans="1:19" x14ac:dyDescent="0.2">
      <c r="A51" t="s">
        <v>385</v>
      </c>
      <c r="B51" t="s">
        <v>386</v>
      </c>
      <c r="C51" t="s">
        <v>387</v>
      </c>
      <c r="D51" t="s">
        <v>22</v>
      </c>
      <c r="E51" t="b">
        <v>0</v>
      </c>
      <c r="F51" t="s">
        <v>23</v>
      </c>
      <c r="G51" t="s">
        <v>388</v>
      </c>
      <c r="H51" t="s">
        <v>25</v>
      </c>
      <c r="I51" t="s">
        <v>26</v>
      </c>
      <c r="J51" t="s">
        <v>27</v>
      </c>
      <c r="K51" t="s">
        <v>389</v>
      </c>
      <c r="L51" t="s">
        <v>390</v>
      </c>
      <c r="M51" t="s">
        <v>391</v>
      </c>
      <c r="N51" t="s">
        <v>392</v>
      </c>
      <c r="O51" t="s">
        <v>393</v>
      </c>
      <c r="P51" t="s">
        <v>26</v>
      </c>
      <c r="Q51" t="s">
        <v>218</v>
      </c>
      <c r="R51" t="s">
        <v>394</v>
      </c>
      <c r="S51" t="s">
        <v>395</v>
      </c>
    </row>
    <row r="52" spans="1:19" x14ac:dyDescent="0.2">
      <c r="A52" t="s">
        <v>396</v>
      </c>
      <c r="B52" t="s">
        <v>397</v>
      </c>
      <c r="C52" t="s">
        <v>398</v>
      </c>
      <c r="D52" t="s">
        <v>22</v>
      </c>
      <c r="E52" t="b">
        <v>0</v>
      </c>
      <c r="F52" t="s">
        <v>23</v>
      </c>
      <c r="G52" t="s">
        <v>399</v>
      </c>
      <c r="H52" t="s">
        <v>400</v>
      </c>
      <c r="I52" s="2" t="d">
        <v>2022-04-05</v>
      </c>
      <c r="J52" t="s">
        <v>27</v>
      </c>
      <c r="K52" t="s">
        <v>401</v>
      </c>
      <c r="L52" t="s">
        <v>397</v>
      </c>
      <c r="M52" t="s">
        <v>402</v>
      </c>
      <c r="N52" t="s">
        <v>26</v>
      </c>
      <c r="O52" t="s">
        <v>403</v>
      </c>
      <c r="P52" t="s">
        <v>404</v>
      </c>
      <c r="Q52" s="1" t="d">
        <v>1950-11-01</v>
      </c>
      <c r="R52" t="s">
        <v>41</v>
      </c>
      <c r="S52" t="s">
        <v>405</v>
      </c>
    </row>
    <row r="53" spans="1:19" x14ac:dyDescent="0.2">
      <c r="A53" t="s">
        <v>406</v>
      </c>
      <c r="B53" t="s">
        <v>406</v>
      </c>
      <c r="C53" t="s">
        <v>407</v>
      </c>
      <c r="D53" t="s">
        <v>22</v>
      </c>
      <c r="E53" t="b">
        <v>0</v>
      </c>
      <c r="F53" t="s">
        <v>23</v>
      </c>
      <c r="G53" t="s">
        <v>408</v>
      </c>
      <c r="H53" t="s">
        <v>188</v>
      </c>
      <c r="I53" t="s">
        <v>26</v>
      </c>
      <c r="J53" t="s">
        <v>27</v>
      </c>
      <c r="K53" t="s">
        <v>409</v>
      </c>
      <c r="L53" t="s">
        <v>406</v>
      </c>
      <c r="M53" t="s">
        <v>410</v>
      </c>
      <c r="N53" t="s">
        <v>26</v>
      </c>
      <c r="O53" t="s">
        <v>411</v>
      </c>
      <c r="P53" t="s">
        <v>26</v>
      </c>
      <c r="Q53" s="3" t="d">
        <v>2026-01-10</v>
      </c>
      <c r="R53" t="s">
        <v>412</v>
      </c>
      <c r="S53" t="s">
        <v>413</v>
      </c>
    </row>
    <row r="54" spans="1:19" x14ac:dyDescent="0.2">
      <c r="A54" t="s">
        <v>414</v>
      </c>
      <c r="B54" t="s">
        <v>414</v>
      </c>
      <c r="C54" t="s">
        <v>415</v>
      </c>
      <c r="D54" t="s">
        <v>22</v>
      </c>
      <c r="E54" t="b">
        <v>0</v>
      </c>
      <c r="F54" t="s">
        <v>23</v>
      </c>
      <c r="G54" t="s">
        <v>416</v>
      </c>
      <c r="H54" t="s">
        <v>417</v>
      </c>
      <c r="I54" s="2" t="d">
        <v>2016-01-01</v>
      </c>
      <c r="J54" t="s">
        <v>27</v>
      </c>
      <c r="K54" t="s">
        <v>418</v>
      </c>
      <c r="L54" t="s">
        <v>419</v>
      </c>
      <c r="M54" t="s">
        <v>420</v>
      </c>
      <c r="N54" t="s">
        <v>421</v>
      </c>
      <c r="O54" t="s">
        <v>422</v>
      </c>
      <c r="P54" t="s">
        <v>423</v>
      </c>
      <c r="Q54" t="s">
        <v>40</v>
      </c>
      <c r="R54" t="s">
        <v>41</v>
      </c>
      <c r="S54" t="s">
        <v>424</v>
      </c>
    </row>
    <row r="55" spans="1:19" x14ac:dyDescent="0.2">
      <c r="A55" t="s">
        <v>425</v>
      </c>
      <c r="B55" t="s">
        <v>26</v>
      </c>
      <c r="C55" t="s">
        <v>426</v>
      </c>
      <c r="D55" t="s">
        <v>26</v>
      </c>
      <c r="E55" t="s">
        <v>26</v>
      </c>
      <c r="F55" t="s">
        <v>26</v>
      </c>
      <c r="G55" t="s">
        <v>427</v>
      </c>
      <c r="H55" t="s">
        <v>26</v>
      </c>
      <c r="I55" t="s">
        <v>26</v>
      </c>
      <c r="J55" t="s">
        <v>26</v>
      </c>
      <c r="K55" t="s">
        <v>428</v>
      </c>
      <c r="L55" t="s">
        <v>429</v>
      </c>
      <c r="M55" t="s">
        <v>430</v>
      </c>
      <c r="N55" t="s">
        <v>26</v>
      </c>
      <c r="O55" t="s">
        <v>26</v>
      </c>
      <c r="P55" t="s">
        <v>26</v>
      </c>
      <c r="Q55" t="s">
        <v>26</v>
      </c>
      <c r="R55" t="s">
        <v>431</v>
      </c>
      <c r="S55" t="s">
        <v>432</v>
      </c>
    </row>
    <row r="56" spans="1:19" x14ac:dyDescent="0.2">
      <c r="A56" t="s">
        <v>433</v>
      </c>
      <c r="B56" t="s">
        <v>433</v>
      </c>
      <c r="C56" t="s">
        <v>434</v>
      </c>
      <c r="D56" t="s">
        <v>22</v>
      </c>
      <c r="E56" t="b">
        <v>0</v>
      </c>
      <c r="F56" t="s">
        <v>23</v>
      </c>
      <c r="G56" t="s">
        <v>435</v>
      </c>
      <c r="H56" t="s">
        <v>436</v>
      </c>
      <c r="I56" t="s">
        <v>26</v>
      </c>
      <c r="J56" t="s">
        <v>27</v>
      </c>
      <c r="K56" t="s">
        <v>437</v>
      </c>
      <c r="L56" t="s">
        <v>433</v>
      </c>
      <c r="M56" t="s">
        <v>438</v>
      </c>
      <c r="N56" t="s">
        <v>26</v>
      </c>
      <c r="O56" t="s">
        <v>439</v>
      </c>
      <c r="P56" t="s">
        <v>26</v>
      </c>
      <c r="Q56" s="3" t="d">
        <v>2026-01-10</v>
      </c>
      <c r="R56" t="s">
        <v>440</v>
      </c>
      <c r="S56" t="s">
        <v>441</v>
      </c>
    </row>
    <row r="57" spans="1:19" x14ac:dyDescent="0.2">
      <c r="A57" t="s">
        <v>442</v>
      </c>
      <c r="B57" t="s">
        <v>26</v>
      </c>
      <c r="C57" t="s">
        <v>443</v>
      </c>
      <c r="D57" t="s">
        <v>26</v>
      </c>
      <c r="E57" t="s">
        <v>26</v>
      </c>
      <c r="F57" t="s">
        <v>26</v>
      </c>
      <c r="G57" t="s">
        <v>444</v>
      </c>
      <c r="H57" t="s">
        <v>26</v>
      </c>
      <c r="I57" t="s">
        <v>26</v>
      </c>
      <c r="J57" t="s">
        <v>26</v>
      </c>
      <c r="K57" t="s">
        <v>445</v>
      </c>
      <c r="L57" t="s">
        <v>446</v>
      </c>
      <c r="M57" t="s">
        <v>447</v>
      </c>
      <c r="N57" t="s">
        <v>26</v>
      </c>
      <c r="O57" t="s">
        <v>26</v>
      </c>
      <c r="P57" t="s">
        <v>26</v>
      </c>
      <c r="Q57" t="s">
        <v>26</v>
      </c>
      <c r="R57" t="s">
        <v>448</v>
      </c>
      <c r="S57" t="s">
        <v>449</v>
      </c>
    </row>
    <row r="58" spans="1:19" x14ac:dyDescent="0.2">
      <c r="A58" t="s">
        <v>450</v>
      </c>
      <c r="B58" t="s">
        <v>450</v>
      </c>
      <c r="C58" t="s">
        <v>451</v>
      </c>
      <c r="D58" t="s">
        <v>22</v>
      </c>
      <c r="E58" t="b">
        <v>0</v>
      </c>
      <c r="F58" t="s">
        <v>23</v>
      </c>
      <c r="G58" t="s">
        <v>452</v>
      </c>
      <c r="H58" t="s">
        <v>453</v>
      </c>
      <c r="I58" t="s">
        <v>26</v>
      </c>
      <c r="J58" t="s">
        <v>27</v>
      </c>
      <c r="K58" t="s">
        <v>454</v>
      </c>
      <c r="L58" t="s">
        <v>455</v>
      </c>
      <c r="M58" t="s">
        <v>456</v>
      </c>
      <c r="N58" t="s">
        <v>26</v>
      </c>
      <c r="O58" t="s">
        <v>457</v>
      </c>
      <c r="P58" t="s">
        <v>26</v>
      </c>
      <c r="Q58" s="3" t="d">
        <v>2026-01-10</v>
      </c>
      <c r="R58" t="s">
        <v>448</v>
      </c>
      <c r="S58" t="s">
        <v>458</v>
      </c>
    </row>
    <row r="59" spans="1:19" x14ac:dyDescent="0.2">
      <c r="A59" t="s">
        <v>459</v>
      </c>
      <c r="B59" t="s">
        <v>26</v>
      </c>
      <c r="C59" t="s">
        <v>460</v>
      </c>
      <c r="D59" t="s">
        <v>26</v>
      </c>
      <c r="E59" t="s">
        <v>26</v>
      </c>
      <c r="F59" t="s">
        <v>26</v>
      </c>
      <c r="G59" t="s">
        <v>461</v>
      </c>
      <c r="H59" t="s">
        <v>26</v>
      </c>
      <c r="I59" t="s">
        <v>26</v>
      </c>
      <c r="J59" t="s">
        <v>26</v>
      </c>
      <c r="K59" t="s">
        <v>462</v>
      </c>
      <c r="L59" t="s">
        <v>459</v>
      </c>
      <c r="M59" t="s">
        <v>463</v>
      </c>
      <c r="N59" t="s">
        <v>26</v>
      </c>
      <c r="O59" t="s">
        <v>26</v>
      </c>
      <c r="P59" t="s">
        <v>26</v>
      </c>
      <c r="Q59" t="s">
        <v>26</v>
      </c>
      <c r="R59" t="s">
        <v>464</v>
      </c>
      <c r="S59" t="s">
        <v>465</v>
      </c>
    </row>
    <row r="60" spans="1:19" x14ac:dyDescent="0.2">
      <c r="A60" t="s">
        <v>466</v>
      </c>
      <c r="B60" t="s">
        <v>466</v>
      </c>
      <c r="C60" t="s">
        <v>467</v>
      </c>
      <c r="D60" t="s">
        <v>22</v>
      </c>
      <c r="E60" t="b">
        <v>0</v>
      </c>
      <c r="F60" t="s">
        <v>23</v>
      </c>
      <c r="G60" t="s">
        <v>468</v>
      </c>
      <c r="H60" t="s">
        <v>469</v>
      </c>
      <c r="I60" s="2" t="d">
        <v>2017-01-01</v>
      </c>
      <c r="J60" t="s">
        <v>27</v>
      </c>
      <c r="K60" t="s">
        <v>470</v>
      </c>
      <c r="L60" t="s">
        <v>466</v>
      </c>
      <c r="M60" t="s">
        <v>471</v>
      </c>
      <c r="N60" t="s">
        <v>472</v>
      </c>
      <c r="O60" t="s">
        <v>473</v>
      </c>
      <c r="P60" t="s">
        <v>474</v>
      </c>
      <c r="Q60" s="1" t="d">
        <v>1950-11-01</v>
      </c>
      <c r="R60" t="s">
        <v>41</v>
      </c>
      <c r="S60" t="s">
        <v>475</v>
      </c>
    </row>
    <row r="61" spans="1:19" x14ac:dyDescent="0.2">
      <c r="A61" t="s">
        <v>476</v>
      </c>
      <c r="B61" t="s">
        <v>26</v>
      </c>
      <c r="C61" t="s">
        <v>477</v>
      </c>
      <c r="D61" t="s">
        <v>26</v>
      </c>
      <c r="E61" t="s">
        <v>26</v>
      </c>
      <c r="F61" t="s">
        <v>26</v>
      </c>
      <c r="G61" t="s">
        <v>478</v>
      </c>
      <c r="H61" t="s">
        <v>26</v>
      </c>
      <c r="I61" t="s">
        <v>26</v>
      </c>
      <c r="J61" t="s">
        <v>26</v>
      </c>
      <c r="K61" t="s">
        <v>479</v>
      </c>
      <c r="L61" t="s">
        <v>480</v>
      </c>
      <c r="M61" t="s">
        <v>26</v>
      </c>
      <c r="N61" t="s">
        <v>26</v>
      </c>
      <c r="O61" t="s">
        <v>26</v>
      </c>
      <c r="P61" t="s">
        <v>26</v>
      </c>
      <c r="Q61" t="s">
        <v>26</v>
      </c>
      <c r="R61" t="s">
        <v>481</v>
      </c>
      <c r="S61" t="s">
        <v>482</v>
      </c>
    </row>
    <row r="62" spans="1:19" x14ac:dyDescent="0.2">
      <c r="A62" t="s">
        <v>483</v>
      </c>
      <c r="B62" t="s">
        <v>483</v>
      </c>
      <c r="C62" t="s">
        <v>484</v>
      </c>
      <c r="D62" t="s">
        <v>22</v>
      </c>
      <c r="E62" t="b">
        <v>0</v>
      </c>
      <c r="F62" t="s">
        <v>23</v>
      </c>
      <c r="G62" t="s">
        <v>485</v>
      </c>
      <c r="H62" t="s">
        <v>486</v>
      </c>
      <c r="I62" s="2" t="d">
        <v>2018-01-01</v>
      </c>
      <c r="J62" t="s">
        <v>27</v>
      </c>
      <c r="K62" t="s">
        <v>487</v>
      </c>
      <c r="L62" t="s">
        <v>488</v>
      </c>
      <c r="M62" t="s">
        <v>489</v>
      </c>
      <c r="N62" t="s">
        <v>26</v>
      </c>
      <c r="O62" t="s">
        <v>490</v>
      </c>
      <c r="P62" t="s">
        <v>491</v>
      </c>
      <c r="Q62" s="1" t="d">
        <v>1950-11-01</v>
      </c>
      <c r="R62" t="s">
        <v>492</v>
      </c>
      <c r="S62" t="s">
        <v>493</v>
      </c>
    </row>
    <row r="63" spans="1:19" x14ac:dyDescent="0.2">
      <c r="A63" t="s">
        <v>494</v>
      </c>
      <c r="B63" t="s">
        <v>494</v>
      </c>
      <c r="C63" t="s">
        <v>495</v>
      </c>
      <c r="D63" t="s">
        <v>22</v>
      </c>
      <c r="E63" t="b">
        <v>0</v>
      </c>
      <c r="F63" t="s">
        <v>23</v>
      </c>
      <c r="G63" t="s">
        <v>496</v>
      </c>
      <c r="H63" t="s">
        <v>497</v>
      </c>
      <c r="I63" t="s">
        <v>26</v>
      </c>
      <c r="J63" t="s">
        <v>27</v>
      </c>
      <c r="K63" t="s">
        <v>498</v>
      </c>
      <c r="L63" t="s">
        <v>499</v>
      </c>
      <c r="M63" t="s">
        <v>500</v>
      </c>
      <c r="N63" t="s">
        <v>26</v>
      </c>
      <c r="O63" t="s">
        <v>501</v>
      </c>
      <c r="P63" t="s">
        <v>26</v>
      </c>
      <c r="Q63" t="s">
        <v>40</v>
      </c>
      <c r="R63" t="s">
        <v>41</v>
      </c>
      <c r="S63" t="s">
        <v>502</v>
      </c>
    </row>
    <row r="64" spans="1:19" x14ac:dyDescent="0.2">
      <c r="A64" t="s">
        <v>503</v>
      </c>
      <c r="B64" t="s">
        <v>503</v>
      </c>
      <c r="C64" t="s">
        <v>504</v>
      </c>
      <c r="D64" t="s">
        <v>22</v>
      </c>
      <c r="E64" t="b">
        <v>0</v>
      </c>
      <c r="F64" t="s">
        <v>23</v>
      </c>
      <c r="G64" t="s">
        <v>505</v>
      </c>
      <c r="H64" t="s">
        <v>506</v>
      </c>
      <c r="I64" t="s">
        <v>26</v>
      </c>
      <c r="J64" t="s">
        <v>27</v>
      </c>
      <c r="K64" t="s">
        <v>507</v>
      </c>
      <c r="L64" t="s">
        <v>503</v>
      </c>
      <c r="M64" t="s">
        <v>508</v>
      </c>
      <c r="N64" t="s">
        <v>26</v>
      </c>
      <c r="O64" t="s">
        <v>509</v>
      </c>
      <c r="P64" t="s">
        <v>26</v>
      </c>
      <c r="Q64" s="3" t="d">
        <v>2026-01-10</v>
      </c>
      <c r="R64" t="s">
        <v>464</v>
      </c>
      <c r="S64" t="s">
        <v>510</v>
      </c>
    </row>
    <row r="65" spans="1:19" x14ac:dyDescent="0.2">
      <c r="A65" t="s">
        <v>511</v>
      </c>
      <c r="B65" t="s">
        <v>511</v>
      </c>
      <c r="C65" t="s">
        <v>512</v>
      </c>
      <c r="D65" t="s">
        <v>22</v>
      </c>
      <c r="E65" t="b">
        <v>0</v>
      </c>
      <c r="F65" t="s">
        <v>23</v>
      </c>
      <c r="G65" t="s">
        <v>513</v>
      </c>
      <c r="H65" t="s">
        <v>514</v>
      </c>
      <c r="I65" t="s">
        <v>26</v>
      </c>
      <c r="J65" t="s">
        <v>27</v>
      </c>
      <c r="K65" t="s">
        <v>515</v>
      </c>
      <c r="L65" t="s">
        <v>511</v>
      </c>
      <c r="M65" t="s">
        <v>516</v>
      </c>
      <c r="N65" t="s">
        <v>26</v>
      </c>
      <c r="O65" t="s">
        <v>26</v>
      </c>
      <c r="P65" t="s">
        <v>26</v>
      </c>
      <c r="Q65" s="1" t="d">
        <v>1950-11-01</v>
      </c>
      <c r="R65" t="s">
        <v>225</v>
      </c>
      <c r="S65" t="s">
        <v>517</v>
      </c>
    </row>
    <row r="66" spans="1:19" x14ac:dyDescent="0.2">
      <c r="A66" t="s">
        <v>518</v>
      </c>
      <c r="B66" t="s">
        <v>518</v>
      </c>
      <c r="C66" t="s">
        <v>519</v>
      </c>
      <c r="D66" t="s">
        <v>22</v>
      </c>
      <c r="E66" t="b">
        <v>0</v>
      </c>
      <c r="F66" t="s">
        <v>23</v>
      </c>
      <c r="G66" t="s">
        <v>520</v>
      </c>
      <c r="H66" t="s">
        <v>521</v>
      </c>
      <c r="I66" t="s">
        <v>26</v>
      </c>
      <c r="J66" t="s">
        <v>27</v>
      </c>
      <c r="K66" t="s">
        <v>522</v>
      </c>
      <c r="L66" t="s">
        <v>518</v>
      </c>
      <c r="M66" t="s">
        <v>26</v>
      </c>
      <c r="N66" t="s">
        <v>26</v>
      </c>
      <c r="O66" t="s">
        <v>523</v>
      </c>
      <c r="P66" t="s">
        <v>26</v>
      </c>
      <c r="Q66" s="3" t="d">
        <v>2026-01-10</v>
      </c>
      <c r="R66" t="s">
        <v>524</v>
      </c>
      <c r="S66" t="s">
        <v>525</v>
      </c>
    </row>
    <row r="67" spans="1:19" x14ac:dyDescent="0.2">
      <c r="A67" t="s">
        <v>526</v>
      </c>
      <c r="B67" t="s">
        <v>526</v>
      </c>
      <c r="C67" t="s">
        <v>527</v>
      </c>
      <c r="D67" t="s">
        <v>22</v>
      </c>
      <c r="E67" t="b">
        <v>0</v>
      </c>
      <c r="F67" t="s">
        <v>23</v>
      </c>
      <c r="G67" t="s">
        <v>528</v>
      </c>
      <c r="H67" t="s">
        <v>529</v>
      </c>
      <c r="I67" t="s">
        <v>26</v>
      </c>
      <c r="J67" t="s">
        <v>27</v>
      </c>
      <c r="K67" t="s">
        <v>530</v>
      </c>
      <c r="L67" t="s">
        <v>526</v>
      </c>
      <c r="M67" t="s">
        <v>531</v>
      </c>
      <c r="N67" t="s">
        <v>26</v>
      </c>
      <c r="O67" t="s">
        <v>532</v>
      </c>
      <c r="P67" t="s">
        <v>26</v>
      </c>
      <c r="Q67" s="3" t="d">
        <v>2026-01-10</v>
      </c>
      <c r="R67" t="s">
        <v>448</v>
      </c>
      <c r="S67" t="s">
        <v>533</v>
      </c>
    </row>
    <row r="68" spans="1:19" x14ac:dyDescent="0.2">
      <c r="A68" t="s">
        <v>534</v>
      </c>
      <c r="B68" t="s">
        <v>535</v>
      </c>
      <c r="C68" t="s">
        <v>536</v>
      </c>
      <c r="D68" t="s">
        <v>22</v>
      </c>
      <c r="E68" t="b">
        <v>0</v>
      </c>
      <c r="F68" t="s">
        <v>23</v>
      </c>
      <c r="G68" t="s">
        <v>537</v>
      </c>
      <c r="H68" t="s">
        <v>67</v>
      </c>
      <c r="I68" t="s">
        <v>26</v>
      </c>
      <c r="J68" t="s">
        <v>27</v>
      </c>
      <c r="K68" t="s">
        <v>538</v>
      </c>
      <c r="L68" t="s">
        <v>539</v>
      </c>
      <c r="M68" t="s">
        <v>26</v>
      </c>
      <c r="N68" t="s">
        <v>26</v>
      </c>
      <c r="O68" t="s">
        <v>26</v>
      </c>
      <c r="P68" t="s">
        <v>26</v>
      </c>
      <c r="Q68" s="1" t="d">
        <v>1950-11-01</v>
      </c>
      <c r="R68" t="s">
        <v>540</v>
      </c>
      <c r="S68" t="s">
        <v>541</v>
      </c>
    </row>
    <row r="69" spans="1:19" x14ac:dyDescent="0.2">
      <c r="A69" t="s">
        <v>542</v>
      </c>
      <c r="B69" t="s">
        <v>542</v>
      </c>
      <c r="C69" t="s">
        <v>543</v>
      </c>
      <c r="D69" t="s">
        <v>22</v>
      </c>
      <c r="E69" t="b">
        <v>0</v>
      </c>
      <c r="F69" t="s">
        <v>23</v>
      </c>
      <c r="G69" t="s">
        <v>544</v>
      </c>
      <c r="H69" t="s">
        <v>67</v>
      </c>
      <c r="I69" s="2" t="d">
        <v>2019-01-01</v>
      </c>
      <c r="J69" t="s">
        <v>27</v>
      </c>
      <c r="K69" t="s">
        <v>545</v>
      </c>
      <c r="L69" t="s">
        <v>542</v>
      </c>
      <c r="M69" t="s">
        <v>546</v>
      </c>
      <c r="N69" t="s">
        <v>547</v>
      </c>
      <c r="O69" t="s">
        <v>548</v>
      </c>
      <c r="P69" t="s">
        <v>26</v>
      </c>
      <c r="Q69" t="s">
        <v>54</v>
      </c>
      <c r="R69" t="s">
        <v>41</v>
      </c>
      <c r="S69" t="s">
        <v>549</v>
      </c>
    </row>
    <row r="70" spans="1:19" x14ac:dyDescent="0.2">
      <c r="A70" t="s">
        <v>550</v>
      </c>
      <c r="B70" t="s">
        <v>26</v>
      </c>
      <c r="C70" t="s">
        <v>551</v>
      </c>
      <c r="D70" t="s">
        <v>26</v>
      </c>
      <c r="E70" t="s">
        <v>26</v>
      </c>
      <c r="F70" t="s">
        <v>26</v>
      </c>
      <c r="G70" t="s">
        <v>552</v>
      </c>
      <c r="H70" t="s">
        <v>26</v>
      </c>
      <c r="I70" t="s">
        <v>26</v>
      </c>
      <c r="J70" t="s">
        <v>26</v>
      </c>
      <c r="K70" t="s">
        <v>553</v>
      </c>
      <c r="L70" t="s">
        <v>26</v>
      </c>
      <c r="M70" t="s">
        <v>26</v>
      </c>
      <c r="N70" t="s">
        <v>26</v>
      </c>
      <c r="O70" t="s">
        <v>26</v>
      </c>
      <c r="P70" t="s">
        <v>26</v>
      </c>
      <c r="Q70" t="s">
        <v>26</v>
      </c>
      <c r="R70" t="s">
        <v>554</v>
      </c>
      <c r="S70" t="s">
        <v>555</v>
      </c>
    </row>
    <row r="71" spans="1:19" x14ac:dyDescent="0.2">
      <c r="A71" t="s">
        <v>556</v>
      </c>
      <c r="B71" t="s">
        <v>557</v>
      </c>
      <c r="C71" t="s">
        <v>558</v>
      </c>
      <c r="D71" t="s">
        <v>22</v>
      </c>
      <c r="E71" t="b">
        <v>0</v>
      </c>
      <c r="F71" t="s">
        <v>23</v>
      </c>
      <c r="G71" t="s">
        <v>559</v>
      </c>
      <c r="H71" t="s">
        <v>246</v>
      </c>
      <c r="I71" s="2" t="d">
        <v>2023-01-01</v>
      </c>
      <c r="J71" t="s">
        <v>27</v>
      </c>
      <c r="K71" t="s">
        <v>560</v>
      </c>
      <c r="L71" t="s">
        <v>561</v>
      </c>
      <c r="M71" t="s">
        <v>562</v>
      </c>
      <c r="N71" t="s">
        <v>26</v>
      </c>
      <c r="O71" t="s">
        <v>26</v>
      </c>
      <c r="P71" t="s">
        <v>26</v>
      </c>
      <c r="Q71" t="s">
        <v>54</v>
      </c>
      <c r="R71" t="s">
        <v>41</v>
      </c>
      <c r="S71" t="s">
        <v>563</v>
      </c>
    </row>
    <row r="72" spans="1:19" x14ac:dyDescent="0.2">
      <c r="A72" t="s">
        <v>564</v>
      </c>
      <c r="B72" t="s">
        <v>564</v>
      </c>
      <c r="C72" t="s">
        <v>565</v>
      </c>
      <c r="D72" t="s">
        <v>22</v>
      </c>
      <c r="E72" t="b">
        <v>0</v>
      </c>
      <c r="F72" t="s">
        <v>23</v>
      </c>
      <c r="G72" t="s">
        <v>566</v>
      </c>
      <c r="H72" t="s">
        <v>67</v>
      </c>
      <c r="I72" t="s">
        <v>26</v>
      </c>
      <c r="J72" t="s">
        <v>27</v>
      </c>
      <c r="K72" t="s">
        <v>567</v>
      </c>
      <c r="L72" t="s">
        <v>568</v>
      </c>
      <c r="M72" t="s">
        <v>569</v>
      </c>
      <c r="N72" t="s">
        <v>570</v>
      </c>
      <c r="O72" t="s">
        <v>571</v>
      </c>
      <c r="P72" t="s">
        <v>572</v>
      </c>
      <c r="Q72" t="s">
        <v>218</v>
      </c>
      <c r="R72" t="s">
        <v>41</v>
      </c>
      <c r="S72" t="s">
        <v>573</v>
      </c>
    </row>
    <row r="73" spans="1:19" x14ac:dyDescent="0.2">
      <c r="A73" t="s">
        <v>574</v>
      </c>
      <c r="B73" t="s">
        <v>574</v>
      </c>
      <c r="C73" t="s">
        <v>575</v>
      </c>
      <c r="D73" t="s">
        <v>22</v>
      </c>
      <c r="E73" t="b">
        <v>0</v>
      </c>
      <c r="F73" t="s">
        <v>23</v>
      </c>
      <c r="G73" t="s">
        <v>576</v>
      </c>
      <c r="H73" t="s">
        <v>577</v>
      </c>
      <c r="I73" t="s">
        <v>26</v>
      </c>
      <c r="J73" t="s">
        <v>27</v>
      </c>
      <c r="K73" t="s">
        <v>578</v>
      </c>
      <c r="L73" t="s">
        <v>574</v>
      </c>
      <c r="M73" t="s">
        <v>579</v>
      </c>
      <c r="N73" t="s">
        <v>26</v>
      </c>
      <c r="O73" t="s">
        <v>26</v>
      </c>
      <c r="P73" t="s">
        <v>26</v>
      </c>
      <c r="Q73" s="3" t="d">
        <v>2026-01-10</v>
      </c>
      <c r="R73" t="s">
        <v>580</v>
      </c>
      <c r="S73" t="s">
        <v>581</v>
      </c>
    </row>
    <row r="74" spans="1:19" x14ac:dyDescent="0.2">
      <c r="A74" t="s">
        <v>582</v>
      </c>
      <c r="B74" t="s">
        <v>26</v>
      </c>
      <c r="C74" t="s">
        <v>583</v>
      </c>
      <c r="D74" t="s">
        <v>26</v>
      </c>
      <c r="E74" t="s">
        <v>26</v>
      </c>
      <c r="F74" t="s">
        <v>26</v>
      </c>
      <c r="G74" t="s">
        <v>584</v>
      </c>
      <c r="H74" t="s">
        <v>26</v>
      </c>
      <c r="I74" t="s">
        <v>26</v>
      </c>
      <c r="J74" t="s">
        <v>26</v>
      </c>
      <c r="K74" t="s">
        <v>585</v>
      </c>
      <c r="L74" t="s">
        <v>586</v>
      </c>
      <c r="M74" t="s">
        <v>587</v>
      </c>
      <c r="N74" t="s">
        <v>26</v>
      </c>
      <c r="O74" t="s">
        <v>26</v>
      </c>
      <c r="P74" t="s">
        <v>26</v>
      </c>
      <c r="Q74" t="s">
        <v>26</v>
      </c>
      <c r="R74" t="s">
        <v>588</v>
      </c>
      <c r="S74" t="s">
        <v>589</v>
      </c>
    </row>
    <row r="75" spans="1:19" x14ac:dyDescent="0.2">
      <c r="A75" t="s">
        <v>590</v>
      </c>
      <c r="B75" t="s">
        <v>591</v>
      </c>
      <c r="C75" t="s">
        <v>592</v>
      </c>
      <c r="D75" t="s">
        <v>22</v>
      </c>
      <c r="E75" t="b">
        <v>0</v>
      </c>
      <c r="F75" t="s">
        <v>23</v>
      </c>
      <c r="G75" t="s">
        <v>593</v>
      </c>
      <c r="H75" t="s">
        <v>594</v>
      </c>
      <c r="I75" s="2" t="d">
        <v>2018-01-01</v>
      </c>
      <c r="J75" t="s">
        <v>27</v>
      </c>
      <c r="K75" t="s">
        <v>595</v>
      </c>
      <c r="L75" t="s">
        <v>596</v>
      </c>
      <c r="M75" t="s">
        <v>597</v>
      </c>
      <c r="N75" t="s">
        <v>598</v>
      </c>
      <c r="O75" t="s">
        <v>599</v>
      </c>
      <c r="P75" t="s">
        <v>26</v>
      </c>
      <c r="Q75" s="1" t="d">
        <v>1950-11-01</v>
      </c>
      <c r="R75" t="s">
        <v>41</v>
      </c>
      <c r="S75" t="s">
        <v>600</v>
      </c>
    </row>
    <row r="76" spans="1:19" x14ac:dyDescent="0.2">
      <c r="A76" t="s">
        <v>601</v>
      </c>
      <c r="B76" t="s">
        <v>601</v>
      </c>
      <c r="C76" t="s">
        <v>602</v>
      </c>
      <c r="D76" t="s">
        <v>22</v>
      </c>
      <c r="E76" t="b">
        <v>0</v>
      </c>
      <c r="F76" t="s">
        <v>23</v>
      </c>
      <c r="G76" t="s">
        <v>603</v>
      </c>
      <c r="H76" t="s">
        <v>604</v>
      </c>
      <c r="I76" t="s">
        <v>26</v>
      </c>
      <c r="J76" t="s">
        <v>27</v>
      </c>
      <c r="K76" t="s">
        <v>605</v>
      </c>
      <c r="L76" t="s">
        <v>606</v>
      </c>
      <c r="M76" t="s">
        <v>607</v>
      </c>
      <c r="N76" t="s">
        <v>608</v>
      </c>
      <c r="O76" t="s">
        <v>26</v>
      </c>
      <c r="P76" t="s">
        <v>609</v>
      </c>
      <c r="Q76" s="1" t="d">
        <v>1950-11-01</v>
      </c>
      <c r="R76" t="s">
        <v>610</v>
      </c>
      <c r="S76" t="s">
        <v>611</v>
      </c>
    </row>
    <row r="77" spans="1:19" x14ac:dyDescent="0.2">
      <c r="A77" t="s">
        <v>612</v>
      </c>
      <c r="B77" t="s">
        <v>612</v>
      </c>
      <c r="C77" t="s">
        <v>613</v>
      </c>
      <c r="D77" t="s">
        <v>22</v>
      </c>
      <c r="E77" t="b">
        <v>0</v>
      </c>
      <c r="F77" t="s">
        <v>23</v>
      </c>
      <c r="G77" t="s">
        <v>614</v>
      </c>
      <c r="H77" t="s">
        <v>615</v>
      </c>
      <c r="I77" t="s">
        <v>26</v>
      </c>
      <c r="J77" t="s">
        <v>27</v>
      </c>
      <c r="K77" t="s">
        <v>616</v>
      </c>
      <c r="L77" t="s">
        <v>612</v>
      </c>
      <c r="M77" t="s">
        <v>617</v>
      </c>
      <c r="N77" t="s">
        <v>618</v>
      </c>
      <c r="O77" t="s">
        <v>619</v>
      </c>
      <c r="P77" t="s">
        <v>620</v>
      </c>
      <c r="Q77" t="s">
        <v>621</v>
      </c>
      <c r="R77" t="s">
        <v>41</v>
      </c>
      <c r="S77" t="s">
        <v>622</v>
      </c>
    </row>
    <row r="78" spans="1:19" x14ac:dyDescent="0.2">
      <c r="A78" t="s">
        <v>623</v>
      </c>
      <c r="B78" t="s">
        <v>623</v>
      </c>
      <c r="C78" t="s">
        <v>624</v>
      </c>
      <c r="D78" t="s">
        <v>22</v>
      </c>
      <c r="E78" t="b">
        <v>0</v>
      </c>
      <c r="F78" t="s">
        <v>23</v>
      </c>
      <c r="G78" t="s">
        <v>625</v>
      </c>
      <c r="H78" t="s">
        <v>67</v>
      </c>
      <c r="I78" t="s">
        <v>26</v>
      </c>
      <c r="J78" t="s">
        <v>27</v>
      </c>
      <c r="K78" t="s">
        <v>626</v>
      </c>
      <c r="L78" t="s">
        <v>623</v>
      </c>
      <c r="M78" t="s">
        <v>627</v>
      </c>
      <c r="N78" t="s">
        <v>26</v>
      </c>
      <c r="O78" t="s">
        <v>26</v>
      </c>
      <c r="P78" t="s">
        <v>26</v>
      </c>
      <c r="Q78" s="3" t="d">
        <v>2026-01-10</v>
      </c>
      <c r="R78" t="s">
        <v>628</v>
      </c>
      <c r="S78" t="s">
        <v>629</v>
      </c>
    </row>
    <row r="79" spans="1:19" x14ac:dyDescent="0.2">
      <c r="A79" t="s">
        <v>630</v>
      </c>
      <c r="B79" t="s">
        <v>631</v>
      </c>
      <c r="C79" t="s">
        <v>632</v>
      </c>
      <c r="D79" t="s">
        <v>22</v>
      </c>
      <c r="E79" t="b">
        <v>0</v>
      </c>
      <c r="F79" t="s">
        <v>23</v>
      </c>
      <c r="G79" t="s">
        <v>633</v>
      </c>
      <c r="H79" t="s">
        <v>634</v>
      </c>
      <c r="I79" s="2" t="d">
        <v>2025-01-01</v>
      </c>
      <c r="J79" t="s">
        <v>27</v>
      </c>
      <c r="K79" t="s">
        <v>635</v>
      </c>
      <c r="L79" t="s">
        <v>631</v>
      </c>
      <c r="M79" t="s">
        <v>636</v>
      </c>
      <c r="N79" t="s">
        <v>26</v>
      </c>
      <c r="O79" t="s">
        <v>637</v>
      </c>
      <c r="P79" t="s">
        <v>26</v>
      </c>
      <c r="Q79" s="1" t="d">
        <v>1950-11-01</v>
      </c>
      <c r="R79" t="s">
        <v>638</v>
      </c>
      <c r="S79" t="s">
        <v>639</v>
      </c>
    </row>
    <row r="80" spans="1:19" x14ac:dyDescent="0.2">
      <c r="A80" t="s">
        <v>640</v>
      </c>
      <c r="B80" t="s">
        <v>640</v>
      </c>
      <c r="C80" t="s">
        <v>641</v>
      </c>
      <c r="D80" t="s">
        <v>22</v>
      </c>
      <c r="E80" t="b">
        <v>0</v>
      </c>
      <c r="F80" t="s">
        <v>23</v>
      </c>
      <c r="G80" t="s">
        <v>642</v>
      </c>
      <c r="H80" t="s">
        <v>57</v>
      </c>
      <c r="I80" s="2" t="d">
        <v>1998-10-22</v>
      </c>
      <c r="J80" t="s">
        <v>27</v>
      </c>
      <c r="K80" t="s">
        <v>643</v>
      </c>
      <c r="L80" t="s">
        <v>640</v>
      </c>
      <c r="M80" t="s">
        <v>644</v>
      </c>
      <c r="N80" t="s">
        <v>645</v>
      </c>
      <c r="O80" t="s">
        <v>646</v>
      </c>
      <c r="P80" t="s">
        <v>26</v>
      </c>
      <c r="Q80" s="3" t="d">
        <v>2026-01-10</v>
      </c>
      <c r="R80" t="s">
        <v>647</v>
      </c>
      <c r="S80" t="s">
        <v>648</v>
      </c>
    </row>
    <row r="81" spans="1:19" x14ac:dyDescent="0.2">
      <c r="A81" t="s">
        <v>649</v>
      </c>
      <c r="B81" t="s">
        <v>649</v>
      </c>
      <c r="C81" t="s">
        <v>650</v>
      </c>
      <c r="D81" t="s">
        <v>22</v>
      </c>
      <c r="E81" t="b">
        <v>0</v>
      </c>
      <c r="F81" t="s">
        <v>23</v>
      </c>
      <c r="G81" t="s">
        <v>651</v>
      </c>
      <c r="H81" t="s">
        <v>652</v>
      </c>
      <c r="I81" t="s">
        <v>26</v>
      </c>
      <c r="J81" t="s">
        <v>27</v>
      </c>
      <c r="K81" t="s">
        <v>653</v>
      </c>
      <c r="L81" t="s">
        <v>654</v>
      </c>
      <c r="M81" t="s">
        <v>26</v>
      </c>
      <c r="N81" t="s">
        <v>26</v>
      </c>
      <c r="O81" t="s">
        <v>26</v>
      </c>
      <c r="P81" t="s">
        <v>655</v>
      </c>
      <c r="Q81" s="1" t="d">
        <v>1950-11-01</v>
      </c>
      <c r="R81" t="s">
        <v>464</v>
      </c>
      <c r="S81" t="s">
        <v>656</v>
      </c>
    </row>
    <row r="82" spans="1:19" x14ac:dyDescent="0.2">
      <c r="A82" t="s">
        <v>657</v>
      </c>
      <c r="B82" t="s">
        <v>657</v>
      </c>
      <c r="C82" t="s">
        <v>658</v>
      </c>
      <c r="D82" t="s">
        <v>22</v>
      </c>
      <c r="E82" t="b">
        <v>0</v>
      </c>
      <c r="F82" t="s">
        <v>23</v>
      </c>
      <c r="G82" t="s">
        <v>659</v>
      </c>
      <c r="H82" t="s">
        <v>660</v>
      </c>
      <c r="I82" t="s">
        <v>26</v>
      </c>
      <c r="J82" t="s">
        <v>27</v>
      </c>
      <c r="K82" t="s">
        <v>661</v>
      </c>
      <c r="L82" t="s">
        <v>657</v>
      </c>
      <c r="M82" t="s">
        <v>662</v>
      </c>
      <c r="N82" t="s">
        <v>663</v>
      </c>
      <c r="O82" t="s">
        <v>664</v>
      </c>
      <c r="P82" t="s">
        <v>665</v>
      </c>
      <c r="Q82" s="1" t="d">
        <v>1950-11-01</v>
      </c>
      <c r="R82" t="s">
        <v>666</v>
      </c>
      <c r="S82" t="s">
        <v>667</v>
      </c>
    </row>
    <row r="83" spans="1:19" x14ac:dyDescent="0.2">
      <c r="A83" t="s">
        <v>668</v>
      </c>
      <c r="B83" t="s">
        <v>668</v>
      </c>
      <c r="C83" t="s">
        <v>669</v>
      </c>
      <c r="D83" t="s">
        <v>22</v>
      </c>
      <c r="E83" t="b">
        <v>0</v>
      </c>
      <c r="F83" t="s">
        <v>23</v>
      </c>
      <c r="G83" t="s">
        <v>670</v>
      </c>
      <c r="H83" t="s">
        <v>671</v>
      </c>
      <c r="I83" s="2" t="d">
        <v>2012-01-01</v>
      </c>
      <c r="J83" t="s">
        <v>27</v>
      </c>
      <c r="K83" t="s">
        <v>672</v>
      </c>
      <c r="L83" t="s">
        <v>673</v>
      </c>
      <c r="M83" t="s">
        <v>674</v>
      </c>
      <c r="N83" t="s">
        <v>26</v>
      </c>
      <c r="O83" t="s">
        <v>675</v>
      </c>
      <c r="P83" t="s">
        <v>676</v>
      </c>
      <c r="Q83" t="s">
        <v>40</v>
      </c>
      <c r="R83" t="s">
        <v>41</v>
      </c>
      <c r="S83" t="s">
        <v>677</v>
      </c>
    </row>
    <row r="84" spans="1:19" x14ac:dyDescent="0.2">
      <c r="A84" t="s">
        <v>678</v>
      </c>
      <c r="B84" t="s">
        <v>679</v>
      </c>
      <c r="C84" t="s">
        <v>680</v>
      </c>
      <c r="D84" t="s">
        <v>22</v>
      </c>
      <c r="E84" t="b">
        <v>0</v>
      </c>
      <c r="F84" t="s">
        <v>23</v>
      </c>
      <c r="G84" t="s">
        <v>681</v>
      </c>
      <c r="H84" t="s">
        <v>682</v>
      </c>
      <c r="I84" t="s">
        <v>26</v>
      </c>
      <c r="J84" t="s">
        <v>27</v>
      </c>
      <c r="K84" t="s">
        <v>683</v>
      </c>
      <c r="L84" t="s">
        <v>684</v>
      </c>
      <c r="M84" t="s">
        <v>26</v>
      </c>
      <c r="N84" t="s">
        <v>26</v>
      </c>
      <c r="O84" t="s">
        <v>685</v>
      </c>
      <c r="P84" t="s">
        <v>26</v>
      </c>
      <c r="Q84" s="1" t="d">
        <v>1950-11-01</v>
      </c>
      <c r="R84" t="s">
        <v>686</v>
      </c>
      <c r="S84" t="s">
        <v>687</v>
      </c>
    </row>
    <row r="85" spans="1:19" x14ac:dyDescent="0.2">
      <c r="A85" t="s">
        <v>688</v>
      </c>
      <c r="B85" t="s">
        <v>688</v>
      </c>
      <c r="C85" t="s">
        <v>689</v>
      </c>
      <c r="D85" t="s">
        <v>22</v>
      </c>
      <c r="E85" t="b">
        <v>0</v>
      </c>
      <c r="F85" t="s">
        <v>23</v>
      </c>
      <c r="G85" t="s">
        <v>690</v>
      </c>
      <c r="H85" t="s">
        <v>691</v>
      </c>
      <c r="I85" s="2" t="d">
        <v>2017-01-01</v>
      </c>
      <c r="J85" t="s">
        <v>27</v>
      </c>
      <c r="K85" t="s">
        <v>692</v>
      </c>
      <c r="L85" t="s">
        <v>688</v>
      </c>
      <c r="M85" t="s">
        <v>693</v>
      </c>
      <c r="N85" t="s">
        <v>694</v>
      </c>
      <c r="O85" t="s">
        <v>695</v>
      </c>
      <c r="P85" t="s">
        <v>696</v>
      </c>
      <c r="Q85" t="s">
        <v>54</v>
      </c>
      <c r="R85" t="s">
        <v>41</v>
      </c>
      <c r="S85" t="s">
        <v>697</v>
      </c>
    </row>
    <row r="86" spans="1:19" x14ac:dyDescent="0.2">
      <c r="A86" t="s">
        <v>698</v>
      </c>
      <c r="B86" t="s">
        <v>699</v>
      </c>
      <c r="C86" t="s">
        <v>700</v>
      </c>
      <c r="D86" t="s">
        <v>22</v>
      </c>
      <c r="E86" t="b">
        <v>0</v>
      </c>
      <c r="F86" t="s">
        <v>23</v>
      </c>
      <c r="G86" t="s">
        <v>701</v>
      </c>
      <c r="H86" t="s">
        <v>67</v>
      </c>
      <c r="I86" t="s">
        <v>26</v>
      </c>
      <c r="J86" t="s">
        <v>27</v>
      </c>
      <c r="K86" t="s">
        <v>702</v>
      </c>
      <c r="L86" t="s">
        <v>703</v>
      </c>
      <c r="M86" t="s">
        <v>704</v>
      </c>
      <c r="N86" t="s">
        <v>26</v>
      </c>
      <c r="O86" t="s">
        <v>705</v>
      </c>
      <c r="P86" t="s">
        <v>706</v>
      </c>
      <c r="Q86" s="3" t="d">
        <v>2026-01-10</v>
      </c>
      <c r="R86" t="s">
        <v>707</v>
      </c>
      <c r="S86" t="s">
        <v>708</v>
      </c>
    </row>
    <row r="87" spans="1:19" x14ac:dyDescent="0.2">
      <c r="A87" t="s">
        <v>709</v>
      </c>
      <c r="B87" t="s">
        <v>26</v>
      </c>
      <c r="C87" t="s">
        <v>710</v>
      </c>
      <c r="D87" t="s">
        <v>26</v>
      </c>
      <c r="E87" t="s">
        <v>26</v>
      </c>
      <c r="F87" t="s">
        <v>26</v>
      </c>
      <c r="G87" t="s">
        <v>711</v>
      </c>
      <c r="H87" t="s">
        <v>26</v>
      </c>
      <c r="I87" t="s">
        <v>26</v>
      </c>
      <c r="J87" t="s">
        <v>26</v>
      </c>
      <c r="K87" t="s">
        <v>712</v>
      </c>
      <c r="L87" t="s">
        <v>713</v>
      </c>
      <c r="M87" t="s">
        <v>26</v>
      </c>
      <c r="N87" t="s">
        <v>26</v>
      </c>
      <c r="O87" t="s">
        <v>26</v>
      </c>
      <c r="P87" t="s">
        <v>26</v>
      </c>
      <c r="Q87" t="s">
        <v>26</v>
      </c>
      <c r="R87" t="s">
        <v>714</v>
      </c>
      <c r="S87" t="s">
        <v>715</v>
      </c>
    </row>
    <row r="88" spans="1:19" x14ac:dyDescent="0.2">
      <c r="A88" t="s">
        <v>716</v>
      </c>
      <c r="B88" t="s">
        <v>716</v>
      </c>
      <c r="C88" t="s">
        <v>717</v>
      </c>
      <c r="D88" t="s">
        <v>22</v>
      </c>
      <c r="E88" t="b">
        <v>0</v>
      </c>
      <c r="F88" t="s">
        <v>23</v>
      </c>
      <c r="G88" t="s">
        <v>718</v>
      </c>
      <c r="H88" t="s">
        <v>719</v>
      </c>
      <c r="I88" t="s">
        <v>26</v>
      </c>
      <c r="J88" t="s">
        <v>27</v>
      </c>
      <c r="K88" t="s">
        <v>720</v>
      </c>
      <c r="L88" t="s">
        <v>721</v>
      </c>
      <c r="M88" t="s">
        <v>722</v>
      </c>
      <c r="N88" t="s">
        <v>723</v>
      </c>
      <c r="O88" t="s">
        <v>724</v>
      </c>
      <c r="P88" t="s">
        <v>26</v>
      </c>
      <c r="Q88" t="s">
        <v>218</v>
      </c>
      <c r="R88" t="s">
        <v>725</v>
      </c>
      <c r="S88" t="s">
        <v>726</v>
      </c>
    </row>
    <row r="89" spans="1:19" x14ac:dyDescent="0.2">
      <c r="A89" t="s">
        <v>727</v>
      </c>
      <c r="B89" t="s">
        <v>26</v>
      </c>
      <c r="C89" t="s">
        <v>728</v>
      </c>
      <c r="D89" t="s">
        <v>26</v>
      </c>
      <c r="E89" t="s">
        <v>26</v>
      </c>
      <c r="F89" t="s">
        <v>26</v>
      </c>
      <c r="G89" t="s">
        <v>729</v>
      </c>
      <c r="H89" t="s">
        <v>26</v>
      </c>
      <c r="I89" t="s">
        <v>26</v>
      </c>
      <c r="J89" t="s">
        <v>26</v>
      </c>
      <c r="K89" t="s">
        <v>730</v>
      </c>
      <c r="L89" t="s">
        <v>731</v>
      </c>
      <c r="M89" t="s">
        <v>26</v>
      </c>
      <c r="N89" t="s">
        <v>26</v>
      </c>
      <c r="O89" t="s">
        <v>26</v>
      </c>
      <c r="P89" t="s">
        <v>26</v>
      </c>
      <c r="Q89" t="s">
        <v>26</v>
      </c>
      <c r="R89" t="s">
        <v>732</v>
      </c>
      <c r="S89" t="s">
        <v>733</v>
      </c>
    </row>
    <row r="90" spans="1:19" x14ac:dyDescent="0.2">
      <c r="A90" t="s">
        <v>734</v>
      </c>
      <c r="B90" t="s">
        <v>734</v>
      </c>
      <c r="C90" t="s">
        <v>735</v>
      </c>
      <c r="D90" t="s">
        <v>22</v>
      </c>
      <c r="E90" t="b">
        <v>0</v>
      </c>
      <c r="F90" t="s">
        <v>23</v>
      </c>
      <c r="G90" t="s">
        <v>736</v>
      </c>
      <c r="H90" t="s">
        <v>737</v>
      </c>
      <c r="I90" t="s">
        <v>26</v>
      </c>
      <c r="J90" t="s">
        <v>27</v>
      </c>
      <c r="K90" t="s">
        <v>738</v>
      </c>
      <c r="L90" t="s">
        <v>734</v>
      </c>
      <c r="M90" t="s">
        <v>739</v>
      </c>
      <c r="N90" t="s">
        <v>26</v>
      </c>
      <c r="O90" t="s">
        <v>740</v>
      </c>
      <c r="P90" t="s">
        <v>741</v>
      </c>
      <c r="Q90" s="3" t="d">
        <v>2026-01-10</v>
      </c>
      <c r="R90" t="s">
        <v>742</v>
      </c>
      <c r="S90" t="s">
        <v>743</v>
      </c>
    </row>
    <row r="91" spans="1:19" x14ac:dyDescent="0.2">
      <c r="A91" t="s">
        <v>744</v>
      </c>
      <c r="B91" t="s">
        <v>744</v>
      </c>
      <c r="C91" t="s">
        <v>745</v>
      </c>
      <c r="D91" t="s">
        <v>22</v>
      </c>
      <c r="E91" t="b">
        <v>0</v>
      </c>
      <c r="F91" t="s">
        <v>23</v>
      </c>
      <c r="G91" t="s">
        <v>746</v>
      </c>
      <c r="H91" t="s">
        <v>747</v>
      </c>
      <c r="I91" s="2" t="d">
        <v>2022-01-01</v>
      </c>
      <c r="J91" t="s">
        <v>27</v>
      </c>
      <c r="K91" t="s">
        <v>748</v>
      </c>
      <c r="L91" t="s">
        <v>749</v>
      </c>
      <c r="M91" t="s">
        <v>750</v>
      </c>
      <c r="N91" t="s">
        <v>751</v>
      </c>
      <c r="O91" t="s">
        <v>752</v>
      </c>
      <c r="P91" t="s">
        <v>26</v>
      </c>
      <c r="Q91" t="s">
        <v>40</v>
      </c>
      <c r="R91" t="s">
        <v>41</v>
      </c>
      <c r="S91" t="s">
        <v>753</v>
      </c>
    </row>
    <row r="92" spans="1:19" x14ac:dyDescent="0.2">
      <c r="A92" t="s">
        <v>754</v>
      </c>
      <c r="B92" t="s">
        <v>754</v>
      </c>
      <c r="C92" t="s">
        <v>755</v>
      </c>
      <c r="D92" t="s">
        <v>22</v>
      </c>
      <c r="E92" t="b">
        <v>0</v>
      </c>
      <c r="F92" t="s">
        <v>26</v>
      </c>
      <c r="G92" t="s">
        <v>756</v>
      </c>
      <c r="H92" t="s">
        <v>757</v>
      </c>
      <c r="I92" t="s">
        <v>26</v>
      </c>
      <c r="J92" t="s">
        <v>27</v>
      </c>
      <c r="K92" t="s">
        <v>758</v>
      </c>
      <c r="L92" t="s">
        <v>754</v>
      </c>
      <c r="M92" t="s">
        <v>26</v>
      </c>
      <c r="N92" t="s">
        <v>26</v>
      </c>
      <c r="O92" t="s">
        <v>759</v>
      </c>
      <c r="P92" t="s">
        <v>26</v>
      </c>
      <c r="Q92" s="3" t="d">
        <v>2026-01-10</v>
      </c>
      <c r="R92" t="s">
        <v>760</v>
      </c>
      <c r="S92" t="s">
        <v>761</v>
      </c>
    </row>
    <row r="93" spans="1:19" x14ac:dyDescent="0.2">
      <c r="A93" t="s">
        <v>762</v>
      </c>
      <c r="B93" t="s">
        <v>762</v>
      </c>
      <c r="C93" t="s">
        <v>763</v>
      </c>
      <c r="D93" t="s">
        <v>22</v>
      </c>
      <c r="E93" t="b">
        <v>0</v>
      </c>
      <c r="F93" t="s">
        <v>23</v>
      </c>
      <c r="G93" t="s">
        <v>764</v>
      </c>
      <c r="H93" t="s">
        <v>634</v>
      </c>
      <c r="I93" s="2" t="d">
        <v>2020-05-04</v>
      </c>
      <c r="J93" t="s">
        <v>27</v>
      </c>
      <c r="K93" t="s">
        <v>765</v>
      </c>
      <c r="L93" t="s">
        <v>762</v>
      </c>
      <c r="M93" t="s">
        <v>26</v>
      </c>
      <c r="N93" t="s">
        <v>766</v>
      </c>
      <c r="O93" t="s">
        <v>767</v>
      </c>
      <c r="P93" t="s">
        <v>26</v>
      </c>
      <c r="Q93" s="1" t="d">
        <v>1950-11-01</v>
      </c>
      <c r="R93" t="s">
        <v>41</v>
      </c>
      <c r="S93" t="s">
        <v>768</v>
      </c>
    </row>
    <row r="94" spans="1:19" x14ac:dyDescent="0.2">
      <c r="A94" t="s">
        <v>769</v>
      </c>
      <c r="B94" t="s">
        <v>770</v>
      </c>
      <c r="C94" t="s">
        <v>771</v>
      </c>
      <c r="D94" t="s">
        <v>22</v>
      </c>
      <c r="E94" t="b">
        <v>0</v>
      </c>
      <c r="F94" t="s">
        <v>23</v>
      </c>
      <c r="G94" t="s">
        <v>772</v>
      </c>
      <c r="H94" t="s">
        <v>773</v>
      </c>
      <c r="I94" s="2" t="d">
        <v>2021-01-01</v>
      </c>
      <c r="J94" t="s">
        <v>27</v>
      </c>
      <c r="K94" t="s">
        <v>774</v>
      </c>
      <c r="L94" t="s">
        <v>775</v>
      </c>
      <c r="M94" t="s">
        <v>26</v>
      </c>
      <c r="N94" t="s">
        <v>776</v>
      </c>
      <c r="O94" t="s">
        <v>777</v>
      </c>
      <c r="P94" t="s">
        <v>778</v>
      </c>
      <c r="Q94" s="1" t="d">
        <v>1950-11-01</v>
      </c>
      <c r="R94" t="s">
        <v>41</v>
      </c>
      <c r="S94" t="s">
        <v>779</v>
      </c>
    </row>
    <row r="95" spans="1:19" x14ac:dyDescent="0.2">
      <c r="A95" t="s">
        <v>780</v>
      </c>
      <c r="B95" t="s">
        <v>781</v>
      </c>
      <c r="C95" t="s">
        <v>782</v>
      </c>
      <c r="D95" t="s">
        <v>22</v>
      </c>
      <c r="E95" t="b">
        <v>0</v>
      </c>
      <c r="F95" t="s">
        <v>23</v>
      </c>
      <c r="G95" t="s">
        <v>783</v>
      </c>
      <c r="H95" t="s">
        <v>784</v>
      </c>
      <c r="I95" s="2" t="d">
        <v>2016-01-01</v>
      </c>
      <c r="J95" t="s">
        <v>27</v>
      </c>
      <c r="K95" t="s">
        <v>26</v>
      </c>
      <c r="L95" t="s">
        <v>26</v>
      </c>
      <c r="M95" t="s">
        <v>785</v>
      </c>
      <c r="N95" t="s">
        <v>26</v>
      </c>
      <c r="O95" t="s">
        <v>786</v>
      </c>
      <c r="P95" t="s">
        <v>787</v>
      </c>
      <c r="Q95" s="1" t="d">
        <v>1950-11-01</v>
      </c>
      <c r="R95" t="s">
        <v>431</v>
      </c>
      <c r="S95" t="s">
        <v>788</v>
      </c>
    </row>
    <row r="96" spans="1:19" x14ac:dyDescent="0.2">
      <c r="A96" t="s">
        <v>789</v>
      </c>
      <c r="B96" t="s">
        <v>789</v>
      </c>
      <c r="C96" t="s">
        <v>790</v>
      </c>
      <c r="D96" t="s">
        <v>22</v>
      </c>
      <c r="E96" t="b">
        <v>0</v>
      </c>
      <c r="F96" t="s">
        <v>23</v>
      </c>
      <c r="G96" t="s">
        <v>791</v>
      </c>
      <c r="H96" t="s">
        <v>188</v>
      </c>
      <c r="I96" t="s">
        <v>26</v>
      </c>
      <c r="J96" t="s">
        <v>27</v>
      </c>
      <c r="K96" t="s">
        <v>792</v>
      </c>
      <c r="L96" t="s">
        <v>793</v>
      </c>
      <c r="M96" t="s">
        <v>794</v>
      </c>
      <c r="N96" t="s">
        <v>795</v>
      </c>
      <c r="O96" t="s">
        <v>796</v>
      </c>
      <c r="P96" t="s">
        <v>26</v>
      </c>
      <c r="Q96" t="s">
        <v>621</v>
      </c>
      <c r="R96" t="s">
        <v>41</v>
      </c>
      <c r="S96" t="s">
        <v>797</v>
      </c>
    </row>
    <row r="97" spans="1:19" x14ac:dyDescent="0.2">
      <c r="A97" t="s">
        <v>798</v>
      </c>
      <c r="B97" t="s">
        <v>798</v>
      </c>
      <c r="C97" t="s">
        <v>799</v>
      </c>
      <c r="D97" t="s">
        <v>22</v>
      </c>
      <c r="E97" t="b">
        <v>0</v>
      </c>
      <c r="F97" t="s">
        <v>23</v>
      </c>
      <c r="G97" t="s">
        <v>800</v>
      </c>
      <c r="H97" t="s">
        <v>801</v>
      </c>
      <c r="I97" t="s">
        <v>26</v>
      </c>
      <c r="J97" t="s">
        <v>27</v>
      </c>
      <c r="K97" t="s">
        <v>802</v>
      </c>
      <c r="L97" t="s">
        <v>803</v>
      </c>
      <c r="M97" t="s">
        <v>804</v>
      </c>
      <c r="N97" t="s">
        <v>26</v>
      </c>
      <c r="O97" t="s">
        <v>26</v>
      </c>
      <c r="P97" t="s">
        <v>26</v>
      </c>
      <c r="Q97" s="1" t="d">
        <v>1950-11-01</v>
      </c>
      <c r="R97" t="s">
        <v>412</v>
      </c>
      <c r="S97" t="s">
        <v>805</v>
      </c>
    </row>
    <row r="98" spans="1:19" x14ac:dyDescent="0.2">
      <c r="A98" t="s">
        <v>806</v>
      </c>
      <c r="B98" t="s">
        <v>806</v>
      </c>
      <c r="C98" t="s">
        <v>807</v>
      </c>
      <c r="D98" t="s">
        <v>22</v>
      </c>
      <c r="E98" t="b">
        <v>0</v>
      </c>
      <c r="F98" t="s">
        <v>23</v>
      </c>
      <c r="G98" t="s">
        <v>808</v>
      </c>
      <c r="H98" t="s">
        <v>634</v>
      </c>
      <c r="I98" t="s">
        <v>26</v>
      </c>
      <c r="J98" t="s">
        <v>27</v>
      </c>
      <c r="K98" t="s">
        <v>809</v>
      </c>
      <c r="L98" t="s">
        <v>806</v>
      </c>
      <c r="M98" t="s">
        <v>810</v>
      </c>
      <c r="N98" t="s">
        <v>811</v>
      </c>
      <c r="O98" t="s">
        <v>812</v>
      </c>
      <c r="P98" t="s">
        <v>26</v>
      </c>
      <c r="Q98" t="s">
        <v>40</v>
      </c>
      <c r="R98" t="s">
        <v>41</v>
      </c>
      <c r="S98" t="s">
        <v>813</v>
      </c>
    </row>
    <row r="99" spans="1:19" x14ac:dyDescent="0.2">
      <c r="A99" t="s">
        <v>814</v>
      </c>
      <c r="B99" t="s">
        <v>26</v>
      </c>
      <c r="C99" t="s">
        <v>815</v>
      </c>
      <c r="D99" t="s">
        <v>26</v>
      </c>
      <c r="E99" t="s">
        <v>26</v>
      </c>
      <c r="F99" t="s">
        <v>26</v>
      </c>
      <c r="G99" t="s">
        <v>816</v>
      </c>
      <c r="H99" t="s">
        <v>26</v>
      </c>
      <c r="I99" t="s">
        <v>26</v>
      </c>
      <c r="J99" t="s">
        <v>26</v>
      </c>
      <c r="K99" t="s">
        <v>817</v>
      </c>
      <c r="L99" t="s">
        <v>814</v>
      </c>
      <c r="M99" t="s">
        <v>818</v>
      </c>
      <c r="N99" t="s">
        <v>26</v>
      </c>
      <c r="O99" t="s">
        <v>26</v>
      </c>
      <c r="P99" t="s">
        <v>26</v>
      </c>
      <c r="Q99" t="s">
        <v>26</v>
      </c>
      <c r="R99" t="s">
        <v>819</v>
      </c>
      <c r="S99" t="s">
        <v>820</v>
      </c>
    </row>
    <row r="100" spans="1:19" x14ac:dyDescent="0.2">
      <c r="A100" t="s">
        <v>821</v>
      </c>
      <c r="B100" t="s">
        <v>821</v>
      </c>
      <c r="C100" t="s">
        <v>822</v>
      </c>
      <c r="D100" t="s">
        <v>22</v>
      </c>
      <c r="E100" t="b">
        <v>0</v>
      </c>
      <c r="F100" t="s">
        <v>23</v>
      </c>
      <c r="G100" t="s">
        <v>823</v>
      </c>
      <c r="H100" t="s">
        <v>188</v>
      </c>
      <c r="I100" t="s">
        <v>26</v>
      </c>
      <c r="J100" t="s">
        <v>27</v>
      </c>
      <c r="K100" t="s">
        <v>824</v>
      </c>
      <c r="L100" t="s">
        <v>821</v>
      </c>
      <c r="M100" t="s">
        <v>825</v>
      </c>
      <c r="N100" t="s">
        <v>26</v>
      </c>
      <c r="O100" t="s">
        <v>826</v>
      </c>
      <c r="P100" t="s">
        <v>26</v>
      </c>
      <c r="Q100" s="3" t="d">
        <v>2026-01-10</v>
      </c>
      <c r="R100" t="s">
        <v>827</v>
      </c>
      <c r="S100" t="s">
        <v>828</v>
      </c>
    </row>
    <row r="101" spans="1:19" x14ac:dyDescent="0.2">
      <c r="A101" t="s">
        <v>829</v>
      </c>
      <c r="B101" t="s">
        <v>829</v>
      </c>
      <c r="C101" t="s">
        <v>830</v>
      </c>
      <c r="D101" t="s">
        <v>22</v>
      </c>
      <c r="E101" t="b">
        <v>0</v>
      </c>
      <c r="F101" t="s">
        <v>23</v>
      </c>
      <c r="G101" t="s">
        <v>831</v>
      </c>
      <c r="H101" t="s">
        <v>67</v>
      </c>
      <c r="I101" t="s">
        <v>26</v>
      </c>
      <c r="J101" t="s">
        <v>27</v>
      </c>
      <c r="K101" t="s">
        <v>832</v>
      </c>
      <c r="L101" t="s">
        <v>833</v>
      </c>
      <c r="M101" t="s">
        <v>834</v>
      </c>
      <c r="N101" t="s">
        <v>26</v>
      </c>
      <c r="O101" t="s">
        <v>835</v>
      </c>
      <c r="P101" t="s">
        <v>836</v>
      </c>
      <c r="Q101" s="3" t="d">
        <v>2026-01-10</v>
      </c>
      <c r="R101" t="s">
        <v>837</v>
      </c>
      <c r="S101" t="s">
        <v>838</v>
      </c>
    </row>
    <row r="102" spans="1:19" x14ac:dyDescent="0.2">
      <c r="A102" t="s">
        <v>839</v>
      </c>
      <c r="B102" t="s">
        <v>839</v>
      </c>
      <c r="C102" t="s">
        <v>840</v>
      </c>
      <c r="D102" t="s">
        <v>22</v>
      </c>
      <c r="E102" t="b">
        <v>0</v>
      </c>
      <c r="F102" t="s">
        <v>23</v>
      </c>
      <c r="G102" t="s">
        <v>841</v>
      </c>
      <c r="H102" t="s">
        <v>842</v>
      </c>
      <c r="I102" s="2" t="d">
        <v>2022-08-01</v>
      </c>
      <c r="J102" t="s">
        <v>27</v>
      </c>
      <c r="K102" t="s">
        <v>843</v>
      </c>
      <c r="L102" t="s">
        <v>844</v>
      </c>
      <c r="M102" t="s">
        <v>845</v>
      </c>
      <c r="N102" t="s">
        <v>26</v>
      </c>
      <c r="O102" t="s">
        <v>26</v>
      </c>
      <c r="P102" t="s">
        <v>26</v>
      </c>
      <c r="Q102" s="3" t="d">
        <v>2026-01-10</v>
      </c>
      <c r="R102" t="s">
        <v>41</v>
      </c>
      <c r="S102" t="s">
        <v>846</v>
      </c>
    </row>
    <row r="103" spans="1:19" x14ac:dyDescent="0.2">
      <c r="A103" t="s">
        <v>847</v>
      </c>
      <c r="B103" t="s">
        <v>848</v>
      </c>
      <c r="C103" t="s">
        <v>849</v>
      </c>
      <c r="D103" t="s">
        <v>22</v>
      </c>
      <c r="E103" t="b">
        <v>0</v>
      </c>
      <c r="F103" t="s">
        <v>23</v>
      </c>
      <c r="G103" t="s">
        <v>850</v>
      </c>
      <c r="H103" t="s">
        <v>851</v>
      </c>
      <c r="I103" s="2" t="d">
        <v>2021-01-01</v>
      </c>
      <c r="J103" t="s">
        <v>27</v>
      </c>
      <c r="K103" t="s">
        <v>852</v>
      </c>
      <c r="L103" t="s">
        <v>853</v>
      </c>
      <c r="M103" t="s">
        <v>854</v>
      </c>
      <c r="N103" t="s">
        <v>26</v>
      </c>
      <c r="O103" t="s">
        <v>855</v>
      </c>
      <c r="P103">
        <f>86-21-5429-399</f>
        <v>-5763</v>
      </c>
      <c r="Q103" t="s">
        <v>40</v>
      </c>
      <c r="R103" t="s">
        <v>41</v>
      </c>
      <c r="S103" t="s">
        <v>856</v>
      </c>
    </row>
    <row r="104" spans="1:19" x14ac:dyDescent="0.2">
      <c r="A104" t="s">
        <v>857</v>
      </c>
      <c r="B104" t="s">
        <v>858</v>
      </c>
      <c r="C104" t="s">
        <v>859</v>
      </c>
      <c r="D104" t="s">
        <v>22</v>
      </c>
      <c r="E104" t="b">
        <v>0</v>
      </c>
      <c r="F104" t="s">
        <v>26</v>
      </c>
      <c r="G104" t="s">
        <v>860</v>
      </c>
      <c r="H104" t="s">
        <v>67</v>
      </c>
      <c r="I104" t="s">
        <v>26</v>
      </c>
      <c r="J104" t="s">
        <v>27</v>
      </c>
      <c r="K104" t="s">
        <v>861</v>
      </c>
      <c r="L104" t="s">
        <v>862</v>
      </c>
      <c r="M104" t="s">
        <v>26</v>
      </c>
      <c r="N104" t="s">
        <v>863</v>
      </c>
      <c r="O104" t="s">
        <v>26</v>
      </c>
      <c r="P104" t="s">
        <v>26</v>
      </c>
      <c r="Q104" s="1" t="d">
        <v>1950-11-01</v>
      </c>
      <c r="R104" t="s">
        <v>864</v>
      </c>
      <c r="S104" t="s">
        <v>865</v>
      </c>
    </row>
    <row r="105" spans="1:19" x14ac:dyDescent="0.2">
      <c r="A105" t="s">
        <v>866</v>
      </c>
      <c r="B105" t="s">
        <v>866</v>
      </c>
      <c r="C105" t="s">
        <v>867</v>
      </c>
      <c r="D105" t="s">
        <v>22</v>
      </c>
      <c r="E105" t="b">
        <v>0</v>
      </c>
      <c r="F105" t="s">
        <v>23</v>
      </c>
      <c r="G105" t="s">
        <v>868</v>
      </c>
      <c r="H105" t="s">
        <v>869</v>
      </c>
      <c r="I105" t="s">
        <v>26</v>
      </c>
      <c r="J105" t="s">
        <v>27</v>
      </c>
      <c r="K105" t="s">
        <v>870</v>
      </c>
      <c r="L105" t="s">
        <v>866</v>
      </c>
      <c r="M105" t="s">
        <v>871</v>
      </c>
      <c r="N105" t="s">
        <v>26</v>
      </c>
      <c r="O105" t="s">
        <v>872</v>
      </c>
      <c r="P105" t="s">
        <v>26</v>
      </c>
      <c r="Q105" s="3" t="d">
        <v>2026-01-10</v>
      </c>
      <c r="R105" t="s">
        <v>610</v>
      </c>
      <c r="S105" t="s">
        <v>873</v>
      </c>
    </row>
    <row r="106" spans="1:19" x14ac:dyDescent="0.2">
      <c r="A106" t="s">
        <v>874</v>
      </c>
      <c r="B106" t="s">
        <v>874</v>
      </c>
      <c r="C106" t="s">
        <v>875</v>
      </c>
      <c r="D106" t="s">
        <v>22</v>
      </c>
      <c r="E106" t="b">
        <v>0</v>
      </c>
      <c r="F106" t="s">
        <v>23</v>
      </c>
      <c r="G106" t="s">
        <v>876</v>
      </c>
      <c r="H106" t="s">
        <v>877</v>
      </c>
      <c r="I106" s="2" t="d">
        <v>2012-05-24</v>
      </c>
      <c r="J106" t="s">
        <v>878</v>
      </c>
      <c r="K106" t="s">
        <v>879</v>
      </c>
      <c r="L106" t="s">
        <v>874</v>
      </c>
      <c r="M106" t="s">
        <v>880</v>
      </c>
      <c r="N106" t="s">
        <v>26</v>
      </c>
      <c r="O106" t="s">
        <v>881</v>
      </c>
      <c r="P106">
        <v>41215520801</v>
      </c>
      <c r="Q106" t="s">
        <v>54</v>
      </c>
      <c r="R106" t="s">
        <v>41</v>
      </c>
      <c r="S106" t="s">
        <v>882</v>
      </c>
    </row>
    <row r="107" spans="1:19" x14ac:dyDescent="0.2">
      <c r="A107" t="s">
        <v>883</v>
      </c>
      <c r="B107" t="s">
        <v>883</v>
      </c>
      <c r="C107" t="s">
        <v>884</v>
      </c>
      <c r="D107" t="s">
        <v>22</v>
      </c>
      <c r="E107" t="b">
        <v>0</v>
      </c>
      <c r="F107" t="s">
        <v>23</v>
      </c>
      <c r="G107" t="s">
        <v>885</v>
      </c>
      <c r="H107" t="s">
        <v>886</v>
      </c>
      <c r="I107" s="2" t="d">
        <v>2018-01-01</v>
      </c>
      <c r="J107" t="s">
        <v>27</v>
      </c>
      <c r="K107" t="s">
        <v>887</v>
      </c>
      <c r="L107" t="s">
        <v>883</v>
      </c>
      <c r="M107" t="s">
        <v>888</v>
      </c>
      <c r="N107" t="s">
        <v>889</v>
      </c>
      <c r="O107" t="s">
        <v>890</v>
      </c>
      <c r="P107" t="s">
        <v>891</v>
      </c>
      <c r="Q107" s="1" t="d">
        <v>1950-11-01</v>
      </c>
      <c r="R107" t="s">
        <v>41</v>
      </c>
      <c r="S107" t="s">
        <v>892</v>
      </c>
    </row>
    <row r="108" spans="1:19" x14ac:dyDescent="0.2">
      <c r="A108" t="s">
        <v>893</v>
      </c>
      <c r="B108" t="s">
        <v>894</v>
      </c>
      <c r="C108" t="s">
        <v>895</v>
      </c>
      <c r="D108" t="s">
        <v>22</v>
      </c>
      <c r="E108" t="b">
        <v>0</v>
      </c>
      <c r="F108" t="s">
        <v>23</v>
      </c>
      <c r="G108" t="s">
        <v>896</v>
      </c>
      <c r="H108" t="s">
        <v>188</v>
      </c>
      <c r="I108" t="s">
        <v>26</v>
      </c>
      <c r="J108" t="s">
        <v>27</v>
      </c>
      <c r="K108" t="s">
        <v>897</v>
      </c>
      <c r="L108" t="s">
        <v>898</v>
      </c>
      <c r="M108" t="s">
        <v>899</v>
      </c>
      <c r="N108" t="s">
        <v>900</v>
      </c>
      <c r="O108" t="s">
        <v>26</v>
      </c>
      <c r="P108" t="s">
        <v>26</v>
      </c>
      <c r="Q108" t="s">
        <v>54</v>
      </c>
      <c r="R108" t="s">
        <v>41</v>
      </c>
      <c r="S108" t="s">
        <v>901</v>
      </c>
    </row>
    <row r="109" spans="1:19" x14ac:dyDescent="0.2">
      <c r="A109" t="s">
        <v>902</v>
      </c>
      <c r="B109" t="s">
        <v>902</v>
      </c>
      <c r="C109" t="s">
        <v>903</v>
      </c>
      <c r="D109" t="s">
        <v>22</v>
      </c>
      <c r="E109" t="b">
        <v>0</v>
      </c>
      <c r="F109" t="s">
        <v>23</v>
      </c>
      <c r="G109" t="s">
        <v>904</v>
      </c>
      <c r="H109" t="s">
        <v>137</v>
      </c>
      <c r="I109" t="s">
        <v>26</v>
      </c>
      <c r="J109" t="s">
        <v>27</v>
      </c>
      <c r="K109" t="s">
        <v>905</v>
      </c>
      <c r="L109" t="s">
        <v>902</v>
      </c>
      <c r="M109" t="s">
        <v>906</v>
      </c>
      <c r="N109" t="s">
        <v>26</v>
      </c>
      <c r="O109" t="s">
        <v>26</v>
      </c>
      <c r="P109" t="s">
        <v>26</v>
      </c>
      <c r="Q109" s="1" t="d">
        <v>1950-11-01</v>
      </c>
      <c r="R109" t="s">
        <v>907</v>
      </c>
      <c r="S109" t="s">
        <v>908</v>
      </c>
    </row>
    <row r="110" spans="1:19" x14ac:dyDescent="0.2">
      <c r="A110" t="s">
        <v>909</v>
      </c>
      <c r="B110" t="s">
        <v>26</v>
      </c>
      <c r="C110" t="s">
        <v>910</v>
      </c>
      <c r="D110" t="s">
        <v>26</v>
      </c>
      <c r="E110" t="s">
        <v>26</v>
      </c>
      <c r="F110" t="s">
        <v>26</v>
      </c>
      <c r="G110" t="s">
        <v>911</v>
      </c>
      <c r="H110" t="s">
        <v>26</v>
      </c>
      <c r="I110" t="s">
        <v>26</v>
      </c>
      <c r="J110" t="s">
        <v>26</v>
      </c>
      <c r="K110" t="s">
        <v>912</v>
      </c>
      <c r="L110" t="s">
        <v>913</v>
      </c>
      <c r="M110" t="s">
        <v>26</v>
      </c>
      <c r="N110" t="s">
        <v>26</v>
      </c>
      <c r="O110" t="s">
        <v>26</v>
      </c>
      <c r="P110" t="s">
        <v>26</v>
      </c>
      <c r="Q110" t="s">
        <v>26</v>
      </c>
      <c r="R110" t="s">
        <v>481</v>
      </c>
      <c r="S110" t="s">
        <v>914</v>
      </c>
    </row>
    <row r="111" spans="1:19" x14ac:dyDescent="0.2">
      <c r="A111" t="s">
        <v>915</v>
      </c>
      <c r="B111" t="s">
        <v>915</v>
      </c>
      <c r="C111" t="s">
        <v>916</v>
      </c>
      <c r="D111" t="s">
        <v>22</v>
      </c>
      <c r="E111" t="b">
        <v>0</v>
      </c>
      <c r="F111" t="s">
        <v>23</v>
      </c>
      <c r="G111" t="s">
        <v>917</v>
      </c>
      <c r="H111" t="s">
        <v>634</v>
      </c>
      <c r="I111" s="2" t="d">
        <v>2022-09-01</v>
      </c>
      <c r="J111" t="s">
        <v>27</v>
      </c>
      <c r="K111" t="s">
        <v>918</v>
      </c>
      <c r="L111" t="s">
        <v>919</v>
      </c>
      <c r="M111" t="s">
        <v>920</v>
      </c>
      <c r="N111" t="s">
        <v>921</v>
      </c>
      <c r="O111" t="s">
        <v>922</v>
      </c>
      <c r="P111" t="s">
        <v>26</v>
      </c>
      <c r="Q111" s="1" t="d">
        <v>1950-11-01</v>
      </c>
      <c r="R111" t="s">
        <v>41</v>
      </c>
      <c r="S111" t="s">
        <v>923</v>
      </c>
    </row>
    <row r="112" spans="1:19" x14ac:dyDescent="0.2">
      <c r="A112" t="s">
        <v>924</v>
      </c>
      <c r="B112" t="s">
        <v>925</v>
      </c>
      <c r="C112" t="s">
        <v>926</v>
      </c>
      <c r="D112" t="s">
        <v>22</v>
      </c>
      <c r="E112" t="b">
        <v>0</v>
      </c>
      <c r="F112" t="s">
        <v>23</v>
      </c>
      <c r="G112" t="s">
        <v>927</v>
      </c>
      <c r="H112" t="s">
        <v>325</v>
      </c>
      <c r="I112" s="2" t="d">
        <v>2019-01-01</v>
      </c>
      <c r="J112" t="s">
        <v>27</v>
      </c>
      <c r="K112" t="s">
        <v>928</v>
      </c>
      <c r="L112" t="s">
        <v>924</v>
      </c>
      <c r="M112" t="s">
        <v>929</v>
      </c>
      <c r="N112" t="s">
        <v>930</v>
      </c>
      <c r="O112" t="s">
        <v>931</v>
      </c>
      <c r="P112" t="s">
        <v>26</v>
      </c>
      <c r="Q112" t="s">
        <v>54</v>
      </c>
      <c r="R112" t="s">
        <v>41</v>
      </c>
      <c r="S112" t="s">
        <v>932</v>
      </c>
    </row>
    <row r="113" spans="1:19" x14ac:dyDescent="0.2">
      <c r="A113" t="s">
        <v>933</v>
      </c>
      <c r="B113" t="s">
        <v>934</v>
      </c>
      <c r="C113" t="s">
        <v>935</v>
      </c>
      <c r="D113" t="s">
        <v>22</v>
      </c>
      <c r="E113" t="b">
        <v>0</v>
      </c>
      <c r="F113" t="s">
        <v>23</v>
      </c>
      <c r="G113" t="s">
        <v>936</v>
      </c>
      <c r="H113" t="s">
        <v>634</v>
      </c>
      <c r="I113" t="s">
        <v>26</v>
      </c>
      <c r="J113" t="s">
        <v>27</v>
      </c>
      <c r="K113" t="s">
        <v>937</v>
      </c>
      <c r="L113" t="s">
        <v>938</v>
      </c>
      <c r="M113" t="s">
        <v>939</v>
      </c>
      <c r="N113" t="s">
        <v>26</v>
      </c>
      <c r="O113" t="s">
        <v>940</v>
      </c>
      <c r="P113" t="s">
        <v>26</v>
      </c>
      <c r="Q113" s="3" t="d">
        <v>2026-01-10</v>
      </c>
      <c r="R113" t="s">
        <v>941</v>
      </c>
      <c r="S113" t="s">
        <v>942</v>
      </c>
    </row>
    <row r="114" spans="1:19" x14ac:dyDescent="0.2">
      <c r="A114" t="s">
        <v>943</v>
      </c>
      <c r="B114" t="s">
        <v>943</v>
      </c>
      <c r="C114" t="s">
        <v>944</v>
      </c>
      <c r="D114" t="s">
        <v>22</v>
      </c>
      <c r="E114" t="b">
        <v>0</v>
      </c>
      <c r="F114" t="s">
        <v>23</v>
      </c>
      <c r="G114" t="s">
        <v>945</v>
      </c>
      <c r="H114" t="s">
        <v>842</v>
      </c>
      <c r="I114" s="2" t="d">
        <v>2021-09-17</v>
      </c>
      <c r="J114" t="s">
        <v>27</v>
      </c>
      <c r="K114" t="s">
        <v>946</v>
      </c>
      <c r="L114" t="s">
        <v>943</v>
      </c>
      <c r="M114" t="s">
        <v>947</v>
      </c>
      <c r="N114" t="s">
        <v>948</v>
      </c>
      <c r="O114" t="s">
        <v>949</v>
      </c>
      <c r="P114" t="s">
        <v>950</v>
      </c>
      <c r="Q114" s="1" t="d">
        <v>1950-11-01</v>
      </c>
      <c r="R114" t="s">
        <v>41</v>
      </c>
      <c r="S114" t="s">
        <v>951</v>
      </c>
    </row>
    <row r="115" spans="1:19" x14ac:dyDescent="0.2">
      <c r="A115" t="s">
        <v>952</v>
      </c>
      <c r="B115" t="s">
        <v>953</v>
      </c>
      <c r="C115" t="s">
        <v>954</v>
      </c>
      <c r="D115" t="s">
        <v>22</v>
      </c>
      <c r="E115" t="b">
        <v>0</v>
      </c>
      <c r="F115" t="s">
        <v>23</v>
      </c>
      <c r="G115" t="s">
        <v>955</v>
      </c>
      <c r="H115" t="s">
        <v>956</v>
      </c>
      <c r="I115" s="2" t="d">
        <v>2017-01-01</v>
      </c>
      <c r="J115" t="s">
        <v>27</v>
      </c>
      <c r="K115" t="s">
        <v>957</v>
      </c>
      <c r="L115" t="s">
        <v>958</v>
      </c>
      <c r="M115" t="s">
        <v>959</v>
      </c>
      <c r="N115" t="s">
        <v>960</v>
      </c>
      <c r="O115" t="s">
        <v>961</v>
      </c>
      <c r="P115" t="s">
        <v>26</v>
      </c>
      <c r="Q115" t="s">
        <v>40</v>
      </c>
      <c r="R115" t="s">
        <v>41</v>
      </c>
      <c r="S115" t="s">
        <v>962</v>
      </c>
    </row>
    <row r="116" spans="1:19" x14ac:dyDescent="0.2">
      <c r="A116" t="s">
        <v>963</v>
      </c>
      <c r="B116" t="s">
        <v>964</v>
      </c>
      <c r="C116" t="s">
        <v>965</v>
      </c>
      <c r="D116" t="s">
        <v>22</v>
      </c>
      <c r="E116" t="b">
        <v>0</v>
      </c>
      <c r="F116" t="s">
        <v>23</v>
      </c>
      <c r="G116" t="s">
        <v>966</v>
      </c>
      <c r="H116" t="s">
        <v>967</v>
      </c>
      <c r="I116" s="2" t="d">
        <v>2017-04-01</v>
      </c>
      <c r="J116" t="s">
        <v>27</v>
      </c>
      <c r="K116" t="s">
        <v>968</v>
      </c>
      <c r="L116" t="s">
        <v>969</v>
      </c>
      <c r="M116" t="s">
        <v>970</v>
      </c>
      <c r="N116" t="s">
        <v>971</v>
      </c>
      <c r="O116" t="s">
        <v>972</v>
      </c>
      <c r="P116" t="s">
        <v>973</v>
      </c>
      <c r="Q116" t="s">
        <v>40</v>
      </c>
      <c r="R116" t="s">
        <v>41</v>
      </c>
      <c r="S116" t="s">
        <v>974</v>
      </c>
    </row>
    <row r="117" spans="1:19" x14ac:dyDescent="0.2">
      <c r="A117" t="s">
        <v>975</v>
      </c>
      <c r="B117" t="s">
        <v>26</v>
      </c>
      <c r="C117" t="s">
        <v>976</v>
      </c>
      <c r="D117" t="s">
        <v>26</v>
      </c>
      <c r="E117" t="s">
        <v>26</v>
      </c>
      <c r="F117" t="s">
        <v>26</v>
      </c>
      <c r="G117" t="s">
        <v>977</v>
      </c>
      <c r="H117" t="s">
        <v>26</v>
      </c>
      <c r="I117" t="s">
        <v>26</v>
      </c>
      <c r="J117" t="s">
        <v>26</v>
      </c>
      <c r="K117" t="s">
        <v>978</v>
      </c>
      <c r="L117" t="s">
        <v>979</v>
      </c>
      <c r="M117" t="s">
        <v>26</v>
      </c>
      <c r="N117" t="s">
        <v>26</v>
      </c>
      <c r="O117" t="s">
        <v>26</v>
      </c>
      <c r="P117" t="s">
        <v>26</v>
      </c>
      <c r="Q117" t="s">
        <v>26</v>
      </c>
      <c r="R117" t="s">
        <v>980</v>
      </c>
      <c r="S117" t="s">
        <v>981</v>
      </c>
    </row>
    <row r="118" spans="1:19" x14ac:dyDescent="0.2">
      <c r="A118" t="s">
        <v>982</v>
      </c>
      <c r="B118" t="s">
        <v>983</v>
      </c>
      <c r="C118" t="s">
        <v>984</v>
      </c>
      <c r="D118" t="s">
        <v>22</v>
      </c>
      <c r="E118" t="b">
        <v>0</v>
      </c>
      <c r="F118" t="s">
        <v>26</v>
      </c>
      <c r="G118" t="s">
        <v>985</v>
      </c>
      <c r="H118" t="s">
        <v>986</v>
      </c>
      <c r="I118" t="s">
        <v>26</v>
      </c>
      <c r="J118" t="s">
        <v>27</v>
      </c>
      <c r="K118" t="s">
        <v>987</v>
      </c>
      <c r="L118" t="s">
        <v>988</v>
      </c>
      <c r="M118" t="s">
        <v>26</v>
      </c>
      <c r="N118" t="s">
        <v>26</v>
      </c>
      <c r="O118" t="s">
        <v>26</v>
      </c>
      <c r="P118" t="s">
        <v>26</v>
      </c>
      <c r="Q118" s="1" t="d">
        <v>1950-11-01</v>
      </c>
      <c r="R118" t="s">
        <v>464</v>
      </c>
      <c r="S118" t="s">
        <v>989</v>
      </c>
    </row>
    <row r="119" spans="1:19" x14ac:dyDescent="0.2">
      <c r="A119" t="s">
        <v>990</v>
      </c>
      <c r="B119" t="s">
        <v>26</v>
      </c>
      <c r="C119" t="s">
        <v>991</v>
      </c>
      <c r="D119" t="s">
        <v>26</v>
      </c>
      <c r="E119" t="s">
        <v>26</v>
      </c>
      <c r="F119" t="s">
        <v>26</v>
      </c>
      <c r="G119" t="s">
        <v>992</v>
      </c>
      <c r="H119" t="s">
        <v>26</v>
      </c>
      <c r="I119" t="s">
        <v>26</v>
      </c>
      <c r="J119" t="s">
        <v>26</v>
      </c>
      <c r="K119" t="s">
        <v>993</v>
      </c>
      <c r="L119" t="s">
        <v>26</v>
      </c>
      <c r="M119" t="s">
        <v>26</v>
      </c>
      <c r="N119" t="s">
        <v>26</v>
      </c>
      <c r="O119" t="s">
        <v>26</v>
      </c>
      <c r="P119" t="s">
        <v>26</v>
      </c>
      <c r="Q119" t="s">
        <v>26</v>
      </c>
      <c r="R119" t="s">
        <v>481</v>
      </c>
      <c r="S119" t="s">
        <v>994</v>
      </c>
    </row>
    <row r="120" spans="1:19" x14ac:dyDescent="0.2">
      <c r="A120" t="s">
        <v>995</v>
      </c>
      <c r="B120" t="s">
        <v>995</v>
      </c>
      <c r="C120" t="s">
        <v>996</v>
      </c>
      <c r="D120" t="s">
        <v>22</v>
      </c>
      <c r="E120" t="b">
        <v>0</v>
      </c>
      <c r="F120" t="s">
        <v>26</v>
      </c>
      <c r="G120" t="s">
        <v>997</v>
      </c>
      <c r="H120" t="s">
        <v>998</v>
      </c>
      <c r="I120" t="s">
        <v>26</v>
      </c>
      <c r="J120" t="s">
        <v>27</v>
      </c>
      <c r="K120" t="s">
        <v>999</v>
      </c>
      <c r="L120" t="s">
        <v>1000</v>
      </c>
      <c r="M120" t="s">
        <v>26</v>
      </c>
      <c r="N120" t="s">
        <v>1001</v>
      </c>
      <c r="O120" t="s">
        <v>26</v>
      </c>
      <c r="P120" t="s">
        <v>26</v>
      </c>
      <c r="Q120" s="1" t="d">
        <v>1950-11-01</v>
      </c>
      <c r="R120" t="s">
        <v>1002</v>
      </c>
      <c r="S120" t="s">
        <v>1003</v>
      </c>
    </row>
    <row r="121" spans="1:19" x14ac:dyDescent="0.2">
      <c r="A121" t="s">
        <v>1004</v>
      </c>
      <c r="B121" t="s">
        <v>1005</v>
      </c>
      <c r="C121" t="s">
        <v>1006</v>
      </c>
      <c r="D121" t="s">
        <v>22</v>
      </c>
      <c r="E121" t="b">
        <v>0</v>
      </c>
      <c r="F121" t="s">
        <v>23</v>
      </c>
      <c r="G121" t="s">
        <v>1007</v>
      </c>
      <c r="H121" t="s">
        <v>1008</v>
      </c>
      <c r="I121" t="s">
        <v>26</v>
      </c>
      <c r="J121" t="s">
        <v>27</v>
      </c>
      <c r="K121" t="s">
        <v>1009</v>
      </c>
      <c r="L121" t="s">
        <v>1010</v>
      </c>
      <c r="M121" t="s">
        <v>26</v>
      </c>
      <c r="N121" t="s">
        <v>26</v>
      </c>
      <c r="O121" t="s">
        <v>1011</v>
      </c>
      <c r="P121" t="s">
        <v>1012</v>
      </c>
      <c r="Q121" s="3" t="d">
        <v>2026-01-10</v>
      </c>
      <c r="R121" t="s">
        <v>1013</v>
      </c>
      <c r="S121" t="s">
        <v>1014</v>
      </c>
    </row>
    <row r="122" spans="1:19" x14ac:dyDescent="0.2">
      <c r="A122" t="s">
        <v>1015</v>
      </c>
      <c r="B122" t="s">
        <v>1016</v>
      </c>
      <c r="C122" t="s">
        <v>1017</v>
      </c>
      <c r="D122" t="s">
        <v>22</v>
      </c>
      <c r="E122" t="b">
        <v>0</v>
      </c>
      <c r="F122" t="s">
        <v>23</v>
      </c>
      <c r="G122" t="s">
        <v>1018</v>
      </c>
      <c r="H122" t="s">
        <v>137</v>
      </c>
      <c r="I122" s="2" t="d">
        <v>2021-06-10</v>
      </c>
      <c r="J122" t="s">
        <v>27</v>
      </c>
      <c r="K122" t="s">
        <v>1019</v>
      </c>
      <c r="L122" t="s">
        <v>1020</v>
      </c>
      <c r="M122" t="s">
        <v>1021</v>
      </c>
      <c r="N122" t="s">
        <v>1022</v>
      </c>
      <c r="O122" t="s">
        <v>1023</v>
      </c>
      <c r="P122" t="s">
        <v>1024</v>
      </c>
      <c r="Q122" s="1" t="d">
        <v>1950-11-01</v>
      </c>
      <c r="R122" t="s">
        <v>41</v>
      </c>
      <c r="S122" t="s">
        <v>1025</v>
      </c>
    </row>
    <row r="123" spans="1:19" x14ac:dyDescent="0.2">
      <c r="A123" t="s">
        <v>1026</v>
      </c>
      <c r="B123" t="s">
        <v>1027</v>
      </c>
      <c r="C123" t="s">
        <v>1028</v>
      </c>
      <c r="D123" t="s">
        <v>22</v>
      </c>
      <c r="E123" t="b">
        <v>0</v>
      </c>
      <c r="F123" t="s">
        <v>23</v>
      </c>
      <c r="G123" t="s">
        <v>1029</v>
      </c>
      <c r="H123" t="s">
        <v>1030</v>
      </c>
      <c r="I123" t="s">
        <v>26</v>
      </c>
      <c r="J123" t="s">
        <v>27</v>
      </c>
      <c r="K123" t="s">
        <v>1031</v>
      </c>
      <c r="L123" t="s">
        <v>1026</v>
      </c>
      <c r="M123" t="s">
        <v>1032</v>
      </c>
      <c r="N123" t="s">
        <v>26</v>
      </c>
      <c r="O123" t="s">
        <v>26</v>
      </c>
      <c r="P123" t="s">
        <v>26</v>
      </c>
      <c r="Q123" s="3" t="d">
        <v>2026-01-10</v>
      </c>
      <c r="R123" t="s">
        <v>1033</v>
      </c>
      <c r="S123" t="s">
        <v>1034</v>
      </c>
    </row>
    <row r="124" spans="1:19" x14ac:dyDescent="0.2">
      <c r="A124" t="s">
        <v>1035</v>
      </c>
      <c r="B124" t="s">
        <v>26</v>
      </c>
      <c r="C124" t="s">
        <v>1036</v>
      </c>
      <c r="D124" t="s">
        <v>26</v>
      </c>
      <c r="E124" t="s">
        <v>26</v>
      </c>
      <c r="F124" t="s">
        <v>26</v>
      </c>
      <c r="G124" t="s">
        <v>1037</v>
      </c>
      <c r="H124" t="s">
        <v>26</v>
      </c>
      <c r="I124" t="s">
        <v>26</v>
      </c>
      <c r="J124" t="s">
        <v>26</v>
      </c>
      <c r="K124" t="s">
        <v>1038</v>
      </c>
      <c r="L124" t="s">
        <v>1035</v>
      </c>
      <c r="M124" t="s">
        <v>1039</v>
      </c>
      <c r="N124" t="s">
        <v>26</v>
      </c>
      <c r="O124" t="s">
        <v>26</v>
      </c>
      <c r="P124" t="s">
        <v>26</v>
      </c>
      <c r="Q124" t="s">
        <v>26</v>
      </c>
      <c r="R124" t="s">
        <v>1040</v>
      </c>
      <c r="S124" t="s">
        <v>1041</v>
      </c>
    </row>
    <row r="125" spans="1:19" x14ac:dyDescent="0.2">
      <c r="A125" t="s">
        <v>1042</v>
      </c>
      <c r="B125" t="s">
        <v>1043</v>
      </c>
      <c r="C125" t="s">
        <v>1044</v>
      </c>
      <c r="D125" t="s">
        <v>22</v>
      </c>
      <c r="E125" t="b">
        <v>0</v>
      </c>
      <c r="F125" t="s">
        <v>23</v>
      </c>
      <c r="G125" t="s">
        <v>1045</v>
      </c>
      <c r="H125" t="s">
        <v>506</v>
      </c>
      <c r="I125" t="s">
        <v>26</v>
      </c>
      <c r="J125" t="s">
        <v>27</v>
      </c>
      <c r="K125" t="s">
        <v>1046</v>
      </c>
      <c r="L125" t="s">
        <v>1047</v>
      </c>
      <c r="M125" t="s">
        <v>1048</v>
      </c>
      <c r="N125" t="s">
        <v>26</v>
      </c>
      <c r="O125" t="s">
        <v>1049</v>
      </c>
      <c r="P125" t="s">
        <v>26</v>
      </c>
      <c r="Q125" s="1" t="d">
        <v>1950-11-01</v>
      </c>
      <c r="R125" t="s">
        <v>1050</v>
      </c>
      <c r="S125" t="s">
        <v>1051</v>
      </c>
    </row>
    <row r="126" spans="1:19" x14ac:dyDescent="0.2">
      <c r="A126" t="s">
        <v>1052</v>
      </c>
      <c r="B126" t="s">
        <v>26</v>
      </c>
      <c r="C126" t="s">
        <v>1053</v>
      </c>
      <c r="D126" t="s">
        <v>26</v>
      </c>
      <c r="E126" t="s">
        <v>26</v>
      </c>
      <c r="F126" t="s">
        <v>26</v>
      </c>
      <c r="G126" t="s">
        <v>1054</v>
      </c>
      <c r="H126" t="s">
        <v>26</v>
      </c>
      <c r="I126" t="s">
        <v>26</v>
      </c>
      <c r="J126" t="s">
        <v>26</v>
      </c>
      <c r="K126" t="s">
        <v>1055</v>
      </c>
      <c r="L126" t="s">
        <v>1056</v>
      </c>
      <c r="M126" t="s">
        <v>26</v>
      </c>
      <c r="N126" t="s">
        <v>26</v>
      </c>
      <c r="O126" t="s">
        <v>26</v>
      </c>
      <c r="P126" t="s">
        <v>26</v>
      </c>
      <c r="Q126" t="s">
        <v>26</v>
      </c>
      <c r="R126" t="s">
        <v>431</v>
      </c>
      <c r="S126" t="s">
        <v>1057</v>
      </c>
    </row>
    <row r="127" spans="1:19" x14ac:dyDescent="0.2">
      <c r="A127" t="s">
        <v>1084</v>
      </c>
      <c r="B127" t="s">
        <v>1085</v>
      </c>
      <c r="C127" t="s">
        <v>1086</v>
      </c>
      <c r="D127" t="s">
        <v>22</v>
      </c>
      <c r="E127" t="b">
        <v>0</v>
      </c>
      <c r="F127" t="s">
        <v>23</v>
      </c>
      <c r="G127" t="s">
        <v>1087</v>
      </c>
      <c r="H127" t="s">
        <v>1088</v>
      </c>
      <c r="I127" t="s">
        <v>26</v>
      </c>
      <c r="J127" t="s">
        <v>27</v>
      </c>
      <c r="K127" t="s">
        <v>1089</v>
      </c>
      <c r="L127" t="s">
        <v>1090</v>
      </c>
      <c r="M127" t="s">
        <v>1091</v>
      </c>
      <c r="N127" t="s">
        <v>26</v>
      </c>
      <c r="O127" t="s">
        <v>26</v>
      </c>
      <c r="P127" t="s">
        <v>26</v>
      </c>
      <c r="Q127" s="1" t="d">
        <v>1950-11-01</v>
      </c>
      <c r="R127" t="s">
        <v>1092</v>
      </c>
      <c r="S127" t="s">
        <v>1093</v>
      </c>
    </row>
    <row r="128" spans="1:19" x14ac:dyDescent="0.2">
      <c r="A128" t="s">
        <v>1094</v>
      </c>
      <c r="B128" t="s">
        <v>26</v>
      </c>
      <c r="C128" t="s">
        <v>1095</v>
      </c>
      <c r="D128" t="s">
        <v>26</v>
      </c>
      <c r="E128" t="s">
        <v>26</v>
      </c>
      <c r="F128" t="s">
        <v>26</v>
      </c>
      <c r="G128" t="s">
        <v>1096</v>
      </c>
      <c r="H128" t="s">
        <v>26</v>
      </c>
      <c r="I128" t="s">
        <v>26</v>
      </c>
      <c r="J128" t="s">
        <v>26</v>
      </c>
      <c r="K128" t="s">
        <v>1097</v>
      </c>
      <c r="L128" t="s">
        <v>26</v>
      </c>
      <c r="M128" t="s">
        <v>1098</v>
      </c>
      <c r="N128" t="s">
        <v>26</v>
      </c>
      <c r="O128" t="s">
        <v>26</v>
      </c>
      <c r="P128" t="s">
        <v>26</v>
      </c>
      <c r="Q128" t="s">
        <v>26</v>
      </c>
      <c r="R128" t="s">
        <v>1080</v>
      </c>
      <c r="S128" t="s">
        <v>1099</v>
      </c>
    </row>
    <row r="129" spans="1:19" x14ac:dyDescent="0.2">
      <c r="A129" t="s">
        <v>1100</v>
      </c>
      <c r="B129" t="s">
        <v>26</v>
      </c>
      <c r="C129" t="s">
        <v>1101</v>
      </c>
      <c r="D129" t="s">
        <v>26</v>
      </c>
      <c r="E129" t="s">
        <v>26</v>
      </c>
      <c r="F129" t="s">
        <v>26</v>
      </c>
      <c r="G129" t="s">
        <v>1102</v>
      </c>
      <c r="H129" t="s">
        <v>26</v>
      </c>
      <c r="I129" t="s">
        <v>26</v>
      </c>
      <c r="J129" t="s">
        <v>26</v>
      </c>
      <c r="K129" t="s">
        <v>1103</v>
      </c>
      <c r="L129" t="s">
        <v>1104</v>
      </c>
      <c r="M129" t="s">
        <v>1105</v>
      </c>
      <c r="N129" t="s">
        <v>26</v>
      </c>
      <c r="O129" t="s">
        <v>26</v>
      </c>
      <c r="P129" t="s">
        <v>26</v>
      </c>
      <c r="Q129" t="s">
        <v>26</v>
      </c>
      <c r="R129" t="s">
        <v>1080</v>
      </c>
      <c r="S129" t="s">
        <v>1106</v>
      </c>
    </row>
    <row r="130" spans="1:19" x14ac:dyDescent="0.2">
      <c r="A130" t="s">
        <v>1107</v>
      </c>
      <c r="B130" t="s">
        <v>1107</v>
      </c>
      <c r="C130" t="s">
        <v>1108</v>
      </c>
      <c r="D130" t="s">
        <v>22</v>
      </c>
      <c r="E130" t="b">
        <v>0</v>
      </c>
      <c r="F130" t="s">
        <v>23</v>
      </c>
      <c r="G130" t="s">
        <v>1109</v>
      </c>
      <c r="H130" t="s">
        <v>67</v>
      </c>
      <c r="I130" t="s">
        <v>26</v>
      </c>
      <c r="J130" t="s">
        <v>27</v>
      </c>
      <c r="K130" t="s">
        <v>1110</v>
      </c>
      <c r="L130" t="s">
        <v>1111</v>
      </c>
      <c r="M130" t="s">
        <v>1112</v>
      </c>
      <c r="N130" t="s">
        <v>26</v>
      </c>
      <c r="O130" t="s">
        <v>1113</v>
      </c>
      <c r="P130" t="s">
        <v>26</v>
      </c>
      <c r="Q130" s="1" t="d">
        <v>1950-11-01</v>
      </c>
      <c r="R130" t="s">
        <v>1114</v>
      </c>
      <c r="S130" t="s">
        <v>1115</v>
      </c>
    </row>
    <row r="131" spans="1:19" x14ac:dyDescent="0.2">
      <c r="A131" t="s">
        <v>1116</v>
      </c>
      <c r="B131" t="s">
        <v>26</v>
      </c>
      <c r="C131" t="s">
        <v>1117</v>
      </c>
      <c r="D131" t="s">
        <v>26</v>
      </c>
      <c r="E131" t="s">
        <v>26</v>
      </c>
      <c r="F131" t="s">
        <v>26</v>
      </c>
      <c r="G131" t="s">
        <v>1118</v>
      </c>
      <c r="H131" t="s">
        <v>26</v>
      </c>
      <c r="I131" t="s">
        <v>26</v>
      </c>
      <c r="J131" t="s">
        <v>26</v>
      </c>
      <c r="K131" t="s">
        <v>1119</v>
      </c>
      <c r="L131" t="s">
        <v>1120</v>
      </c>
      <c r="M131" t="s">
        <v>1121</v>
      </c>
      <c r="N131" t="s">
        <v>26</v>
      </c>
      <c r="O131" t="s">
        <v>26</v>
      </c>
      <c r="P131" t="s">
        <v>26</v>
      </c>
      <c r="Q131" t="s">
        <v>26</v>
      </c>
      <c r="R131" t="s">
        <v>1122</v>
      </c>
      <c r="S131" t="s">
        <v>1123</v>
      </c>
    </row>
    <row r="132" spans="1:19" x14ac:dyDescent="0.2">
      <c r="A132" t="s">
        <v>1124</v>
      </c>
      <c r="B132" t="s">
        <v>1124</v>
      </c>
      <c r="C132" t="s">
        <v>1125</v>
      </c>
      <c r="D132" t="s">
        <v>22</v>
      </c>
      <c r="E132" t="b">
        <v>0</v>
      </c>
      <c r="F132" t="s">
        <v>23</v>
      </c>
      <c r="G132" t="s">
        <v>1126</v>
      </c>
      <c r="H132" t="s">
        <v>67</v>
      </c>
      <c r="I132" t="s">
        <v>26</v>
      </c>
      <c r="J132" t="s">
        <v>27</v>
      </c>
      <c r="K132" t="s">
        <v>1127</v>
      </c>
      <c r="L132" t="s">
        <v>1124</v>
      </c>
      <c r="M132" t="s">
        <v>1128</v>
      </c>
      <c r="N132" t="s">
        <v>26</v>
      </c>
      <c r="O132" t="s">
        <v>1129</v>
      </c>
      <c r="P132" t="s">
        <v>26</v>
      </c>
      <c r="Q132" t="s">
        <v>40</v>
      </c>
      <c r="R132" t="s">
        <v>41</v>
      </c>
      <c r="S132" t="s">
        <v>1130</v>
      </c>
    </row>
    <row r="133" spans="1:19" x14ac:dyDescent="0.2">
      <c r="A133" t="s">
        <v>1131</v>
      </c>
      <c r="B133" t="s">
        <v>1131</v>
      </c>
      <c r="C133" t="s">
        <v>1132</v>
      </c>
      <c r="D133" t="s">
        <v>22</v>
      </c>
      <c r="E133" t="b">
        <v>0</v>
      </c>
      <c r="F133" t="s">
        <v>23</v>
      </c>
      <c r="G133" t="s">
        <v>1133</v>
      </c>
      <c r="H133" t="s">
        <v>1134</v>
      </c>
      <c r="I133" t="s">
        <v>26</v>
      </c>
      <c r="J133" t="s">
        <v>27</v>
      </c>
      <c r="K133" t="s">
        <v>1135</v>
      </c>
      <c r="L133" t="s">
        <v>1131</v>
      </c>
      <c r="M133" t="s">
        <v>1136</v>
      </c>
      <c r="N133" t="s">
        <v>1137</v>
      </c>
      <c r="O133" t="s">
        <v>1138</v>
      </c>
      <c r="P133" t="s">
        <v>26</v>
      </c>
      <c r="Q133" s="3" t="d">
        <v>2026-01-10</v>
      </c>
      <c r="R133" t="s">
        <v>464</v>
      </c>
      <c r="S133" t="s">
        <v>1139</v>
      </c>
    </row>
    <row r="134" spans="1:19" x14ac:dyDescent="0.2">
      <c r="A134" t="s">
        <v>1140</v>
      </c>
      <c r="B134" t="s">
        <v>26</v>
      </c>
      <c r="C134" t="s">
        <v>1141</v>
      </c>
      <c r="D134" t="s">
        <v>26</v>
      </c>
      <c r="E134" t="s">
        <v>26</v>
      </c>
      <c r="F134" t="s">
        <v>26</v>
      </c>
      <c r="G134" t="s">
        <v>1142</v>
      </c>
      <c r="H134" t="s">
        <v>26</v>
      </c>
      <c r="I134" t="s">
        <v>26</v>
      </c>
      <c r="J134" t="s">
        <v>26</v>
      </c>
      <c r="K134" t="s">
        <v>1143</v>
      </c>
      <c r="L134" t="s">
        <v>26</v>
      </c>
      <c r="M134" t="s">
        <v>1144</v>
      </c>
      <c r="N134" t="s">
        <v>26</v>
      </c>
      <c r="O134" t="s">
        <v>26</v>
      </c>
      <c r="P134" t="s">
        <v>26</v>
      </c>
      <c r="Q134" t="s">
        <v>26</v>
      </c>
      <c r="R134" t="s">
        <v>464</v>
      </c>
      <c r="S134" t="s">
        <v>1145</v>
      </c>
    </row>
    <row r="135" spans="1:19" x14ac:dyDescent="0.2">
      <c r="A135" t="s">
        <v>1146</v>
      </c>
      <c r="B135" t="s">
        <v>1146</v>
      </c>
      <c r="C135" t="s">
        <v>1147</v>
      </c>
      <c r="D135" t="s">
        <v>22</v>
      </c>
      <c r="E135" t="b">
        <v>0</v>
      </c>
      <c r="F135" t="s">
        <v>23</v>
      </c>
      <c r="G135" t="s">
        <v>1148</v>
      </c>
      <c r="H135" t="s">
        <v>188</v>
      </c>
      <c r="I135" t="s">
        <v>26</v>
      </c>
      <c r="J135" t="s">
        <v>27</v>
      </c>
      <c r="K135" t="s">
        <v>1149</v>
      </c>
      <c r="L135" t="s">
        <v>1146</v>
      </c>
      <c r="M135" t="s">
        <v>1150</v>
      </c>
      <c r="N135" t="s">
        <v>26</v>
      </c>
      <c r="O135" t="s">
        <v>1151</v>
      </c>
      <c r="P135" t="s">
        <v>1152</v>
      </c>
      <c r="Q135" s="3" t="d">
        <v>2026-01-10</v>
      </c>
      <c r="R135" t="s">
        <v>448</v>
      </c>
      <c r="S135" t="s">
        <v>1153</v>
      </c>
    </row>
    <row r="136" spans="1:19" x14ac:dyDescent="0.2">
      <c r="A136" t="s">
        <v>1154</v>
      </c>
      <c r="B136" t="s">
        <v>1154</v>
      </c>
      <c r="C136" t="s">
        <v>1155</v>
      </c>
      <c r="D136" t="s">
        <v>22</v>
      </c>
      <c r="E136" t="b">
        <v>0</v>
      </c>
      <c r="F136" t="s">
        <v>23</v>
      </c>
      <c r="G136" t="s">
        <v>1156</v>
      </c>
      <c r="H136" t="s">
        <v>188</v>
      </c>
      <c r="I136" t="s">
        <v>26</v>
      </c>
      <c r="J136" t="s">
        <v>27</v>
      </c>
      <c r="K136" t="s">
        <v>1157</v>
      </c>
      <c r="L136" t="s">
        <v>1158</v>
      </c>
      <c r="M136" t="s">
        <v>1159</v>
      </c>
      <c r="N136" t="s">
        <v>26</v>
      </c>
      <c r="O136" t="s">
        <v>26</v>
      </c>
      <c r="P136" t="s">
        <v>26</v>
      </c>
      <c r="Q136" s="1" t="d">
        <v>1950-11-01</v>
      </c>
      <c r="R136" t="s">
        <v>610</v>
      </c>
      <c r="S136" t="s">
        <v>1160</v>
      </c>
    </row>
    <row r="137" spans="1:19" x14ac:dyDescent="0.2">
      <c r="A137" t="s">
        <v>1161</v>
      </c>
      <c r="B137" t="s">
        <v>26</v>
      </c>
      <c r="C137" t="s">
        <v>1162</v>
      </c>
      <c r="D137" t="s">
        <v>26</v>
      </c>
      <c r="E137" t="s">
        <v>26</v>
      </c>
      <c r="F137" t="s">
        <v>26</v>
      </c>
      <c r="G137" t="s">
        <v>1163</v>
      </c>
      <c r="H137" t="s">
        <v>26</v>
      </c>
      <c r="I137" t="s">
        <v>26</v>
      </c>
      <c r="J137" t="s">
        <v>26</v>
      </c>
      <c r="K137" t="s">
        <v>1164</v>
      </c>
      <c r="L137" t="s">
        <v>1165</v>
      </c>
      <c r="M137" t="s">
        <v>26</v>
      </c>
      <c r="N137" t="s">
        <v>26</v>
      </c>
      <c r="O137" t="s">
        <v>26</v>
      </c>
      <c r="P137" t="s">
        <v>26</v>
      </c>
      <c r="Q137" t="s">
        <v>26</v>
      </c>
      <c r="R137" t="s">
        <v>464</v>
      </c>
      <c r="S137" t="s">
        <v>1166</v>
      </c>
    </row>
    <row r="138" spans="1:19" x14ac:dyDescent="0.2">
      <c r="A138" t="s">
        <v>1167</v>
      </c>
      <c r="B138" t="s">
        <v>26</v>
      </c>
      <c r="C138" t="s">
        <v>1168</v>
      </c>
      <c r="D138" t="s">
        <v>26</v>
      </c>
      <c r="E138" t="s">
        <v>26</v>
      </c>
      <c r="F138" t="s">
        <v>26</v>
      </c>
      <c r="G138" t="s">
        <v>1169</v>
      </c>
      <c r="H138" t="s">
        <v>26</v>
      </c>
      <c r="I138" t="s">
        <v>26</v>
      </c>
      <c r="J138" t="s">
        <v>26</v>
      </c>
      <c r="K138" t="s">
        <v>26</v>
      </c>
      <c r="L138" t="s">
        <v>26</v>
      </c>
      <c r="M138" t="s">
        <v>26</v>
      </c>
      <c r="N138" t="s">
        <v>26</v>
      </c>
      <c r="O138" t="s">
        <v>26</v>
      </c>
      <c r="P138" t="s">
        <v>26</v>
      </c>
      <c r="Q138" t="s">
        <v>26</v>
      </c>
      <c r="R138" t="s">
        <v>464</v>
      </c>
      <c r="S138" t="s">
        <v>1170</v>
      </c>
    </row>
    <row r="139" spans="1:19" x14ac:dyDescent="0.2">
      <c r="A139" t="s">
        <v>1171</v>
      </c>
      <c r="B139" t="s">
        <v>1172</v>
      </c>
      <c r="C139" t="s">
        <v>1173</v>
      </c>
      <c r="D139" t="s">
        <v>22</v>
      </c>
      <c r="E139" t="b">
        <v>1</v>
      </c>
      <c r="F139" t="s">
        <v>23</v>
      </c>
      <c r="G139" t="s">
        <v>1174</v>
      </c>
      <c r="H139" t="s">
        <v>1068</v>
      </c>
      <c r="I139" t="s">
        <v>26</v>
      </c>
      <c r="J139" t="s">
        <v>27</v>
      </c>
      <c r="K139" t="s">
        <v>1175</v>
      </c>
      <c r="L139" t="s">
        <v>1176</v>
      </c>
      <c r="M139" t="s">
        <v>26</v>
      </c>
      <c r="N139" t="s">
        <v>26</v>
      </c>
      <c r="O139" t="s">
        <v>26</v>
      </c>
      <c r="P139" t="s">
        <v>26</v>
      </c>
      <c r="Q139" t="s">
        <v>26</v>
      </c>
      <c r="R139" t="s">
        <v>464</v>
      </c>
      <c r="S139" t="s">
        <v>1177</v>
      </c>
    </row>
    <row r="140" spans="1:19" x14ac:dyDescent="0.2">
      <c r="A140" t="s">
        <v>1178</v>
      </c>
      <c r="B140" t="s">
        <v>1178</v>
      </c>
      <c r="C140" t="s">
        <v>1179</v>
      </c>
      <c r="D140" t="s">
        <v>22</v>
      </c>
      <c r="E140" t="b">
        <v>0</v>
      </c>
      <c r="F140" t="s">
        <v>23</v>
      </c>
      <c r="G140" t="s">
        <v>1180</v>
      </c>
      <c r="H140" t="s">
        <v>173</v>
      </c>
      <c r="I140" t="s">
        <v>26</v>
      </c>
      <c r="J140" t="s">
        <v>27</v>
      </c>
      <c r="K140" t="s">
        <v>1181</v>
      </c>
      <c r="L140" t="s">
        <v>1178</v>
      </c>
      <c r="M140" t="s">
        <v>1182</v>
      </c>
      <c r="N140" t="s">
        <v>1183</v>
      </c>
      <c r="O140" t="s">
        <v>1184</v>
      </c>
      <c r="P140" t="s">
        <v>26</v>
      </c>
      <c r="Q140" s="1" t="d">
        <v>1950-11-01</v>
      </c>
      <c r="R140" t="s">
        <v>1083</v>
      </c>
      <c r="S140" t="s">
        <v>1185</v>
      </c>
    </row>
    <row r="141" spans="1:19" x14ac:dyDescent="0.2">
      <c r="A141" t="s">
        <v>1186</v>
      </c>
      <c r="B141" t="s">
        <v>1186</v>
      </c>
      <c r="C141" t="s">
        <v>1187</v>
      </c>
      <c r="D141" t="s">
        <v>1188</v>
      </c>
      <c r="E141" t="b">
        <v>0</v>
      </c>
      <c r="F141" t="s">
        <v>23</v>
      </c>
      <c r="G141" t="s">
        <v>1189</v>
      </c>
      <c r="H141" t="s">
        <v>26</v>
      </c>
      <c r="I141" t="s">
        <v>26</v>
      </c>
      <c r="J141" t="s">
        <v>27</v>
      </c>
      <c r="K141" t="s">
        <v>1190</v>
      </c>
      <c r="L141" t="s">
        <v>1186</v>
      </c>
      <c r="M141" t="s">
        <v>1191</v>
      </c>
      <c r="N141" t="s">
        <v>26</v>
      </c>
      <c r="O141" t="s">
        <v>1192</v>
      </c>
      <c r="P141">
        <v>85225300013</v>
      </c>
      <c r="Q141" s="3" t="d">
        <v>2026-01-10</v>
      </c>
      <c r="R141" t="s">
        <v>1193</v>
      </c>
      <c r="S141" t="s">
        <v>1194</v>
      </c>
    </row>
    <row r="142" spans="1:19" x14ac:dyDescent="0.2">
      <c r="A142" t="s">
        <v>1195</v>
      </c>
      <c r="B142" t="s">
        <v>26</v>
      </c>
      <c r="C142" t="s">
        <v>1196</v>
      </c>
      <c r="D142" t="s">
        <v>26</v>
      </c>
      <c r="E142" t="s">
        <v>26</v>
      </c>
      <c r="F142" t="s">
        <v>26</v>
      </c>
      <c r="G142" t="s">
        <v>1197</v>
      </c>
      <c r="H142" t="s">
        <v>26</v>
      </c>
      <c r="I142" t="s">
        <v>26</v>
      </c>
      <c r="J142" t="s">
        <v>26</v>
      </c>
      <c r="K142" t="s">
        <v>1198</v>
      </c>
      <c r="L142" t="s">
        <v>1199</v>
      </c>
      <c r="M142" t="s">
        <v>26</v>
      </c>
      <c r="N142" t="s">
        <v>26</v>
      </c>
      <c r="O142" t="s">
        <v>26</v>
      </c>
      <c r="P142" t="s">
        <v>26</v>
      </c>
      <c r="Q142" t="s">
        <v>26</v>
      </c>
      <c r="R142" t="s">
        <v>1083</v>
      </c>
      <c r="S142" t="s">
        <v>1200</v>
      </c>
    </row>
    <row r="143" spans="1:19" x14ac:dyDescent="0.2">
      <c r="A143" t="s">
        <v>1201</v>
      </c>
      <c r="B143" t="s">
        <v>1202</v>
      </c>
      <c r="C143" t="s">
        <v>1203</v>
      </c>
      <c r="D143" t="s">
        <v>22</v>
      </c>
      <c r="E143" t="b">
        <v>0</v>
      </c>
      <c r="F143" t="s">
        <v>23</v>
      </c>
      <c r="G143" t="s">
        <v>1204</v>
      </c>
      <c r="H143" t="s">
        <v>119</v>
      </c>
      <c r="I143" t="s">
        <v>26</v>
      </c>
      <c r="J143" t="s">
        <v>27</v>
      </c>
      <c r="K143" t="s">
        <v>1205</v>
      </c>
      <c r="L143" t="s">
        <v>1206</v>
      </c>
      <c r="M143" t="s">
        <v>1207</v>
      </c>
      <c r="N143" t="s">
        <v>26</v>
      </c>
      <c r="O143" t="s">
        <v>26</v>
      </c>
      <c r="P143" t="s">
        <v>26</v>
      </c>
      <c r="Q143" s="3" t="d">
        <v>2026-01-10</v>
      </c>
      <c r="R143" t="s">
        <v>1083</v>
      </c>
      <c r="S143" t="s">
        <v>1208</v>
      </c>
    </row>
    <row r="144" spans="1:19" x14ac:dyDescent="0.2">
      <c r="A144" t="s">
        <v>1209</v>
      </c>
      <c r="B144" t="s">
        <v>26</v>
      </c>
      <c r="C144" t="s">
        <v>1210</v>
      </c>
      <c r="D144" t="s">
        <v>26</v>
      </c>
      <c r="E144" t="s">
        <v>26</v>
      </c>
      <c r="F144" t="s">
        <v>26</v>
      </c>
      <c r="G144" t="s">
        <v>1211</v>
      </c>
      <c r="H144" t="s">
        <v>26</v>
      </c>
      <c r="I144" t="s">
        <v>26</v>
      </c>
      <c r="J144" t="s">
        <v>26</v>
      </c>
      <c r="K144" t="s">
        <v>1212</v>
      </c>
      <c r="L144" t="s">
        <v>26</v>
      </c>
      <c r="M144" t="s">
        <v>1213</v>
      </c>
      <c r="N144" t="s">
        <v>26</v>
      </c>
      <c r="O144" t="s">
        <v>26</v>
      </c>
      <c r="P144" t="s">
        <v>26</v>
      </c>
      <c r="Q144" t="s">
        <v>26</v>
      </c>
      <c r="R144" t="s">
        <v>1083</v>
      </c>
      <c r="S144" t="s">
        <v>1214</v>
      </c>
    </row>
    <row r="145" spans="1:19" x14ac:dyDescent="0.2">
      <c r="A145" t="s">
        <v>1215</v>
      </c>
      <c r="B145" t="s">
        <v>26</v>
      </c>
      <c r="C145" t="s">
        <v>1216</v>
      </c>
      <c r="D145" t="s">
        <v>26</v>
      </c>
      <c r="E145" t="s">
        <v>26</v>
      </c>
      <c r="F145" t="s">
        <v>26</v>
      </c>
      <c r="G145" t="s">
        <v>1217</v>
      </c>
      <c r="H145" t="s">
        <v>26</v>
      </c>
      <c r="I145" t="s">
        <v>26</v>
      </c>
      <c r="J145" t="s">
        <v>26</v>
      </c>
      <c r="K145" t="s">
        <v>1218</v>
      </c>
      <c r="L145" t="s">
        <v>1215</v>
      </c>
      <c r="M145" t="s">
        <v>1219</v>
      </c>
      <c r="N145" t="s">
        <v>1220</v>
      </c>
      <c r="O145" t="s">
        <v>26</v>
      </c>
      <c r="P145" t="s">
        <v>26</v>
      </c>
      <c r="Q145" t="s">
        <v>26</v>
      </c>
      <c r="R145" t="s">
        <v>1083</v>
      </c>
      <c r="S145" t="s">
        <v>1221</v>
      </c>
    </row>
    <row r="146" spans="1:19" x14ac:dyDescent="0.2">
      <c r="A146" t="s">
        <v>1222</v>
      </c>
      <c r="B146" t="s">
        <v>1223</v>
      </c>
      <c r="C146" t="s">
        <v>1224</v>
      </c>
      <c r="D146" t="s">
        <v>22</v>
      </c>
      <c r="E146" t="b">
        <v>0</v>
      </c>
      <c r="F146" t="s">
        <v>23</v>
      </c>
      <c r="G146" t="s">
        <v>1225</v>
      </c>
      <c r="H146" t="s">
        <v>737</v>
      </c>
      <c r="I146" s="2" t="d">
        <v>2023-01-01</v>
      </c>
      <c r="J146" t="s">
        <v>27</v>
      </c>
      <c r="K146" t="s">
        <v>1226</v>
      </c>
      <c r="L146" t="s">
        <v>1227</v>
      </c>
      <c r="M146" t="s">
        <v>1228</v>
      </c>
      <c r="N146" t="s">
        <v>26</v>
      </c>
      <c r="O146" t="s">
        <v>26</v>
      </c>
      <c r="P146" t="s">
        <v>26</v>
      </c>
      <c r="Q146" t="s">
        <v>54</v>
      </c>
      <c r="R146" t="s">
        <v>1229</v>
      </c>
      <c r="S146" t="s">
        <v>1230</v>
      </c>
    </row>
    <row r="147" spans="1:19" x14ac:dyDescent="0.2">
      <c r="A147" t="s">
        <v>1231</v>
      </c>
      <c r="B147" t="s">
        <v>26</v>
      </c>
      <c r="C147" t="s">
        <v>1232</v>
      </c>
      <c r="D147" t="s">
        <v>26</v>
      </c>
      <c r="E147" t="s">
        <v>26</v>
      </c>
      <c r="F147" t="s">
        <v>26</v>
      </c>
      <c r="G147" t="s">
        <v>1233</v>
      </c>
      <c r="H147" t="s">
        <v>26</v>
      </c>
      <c r="I147" t="s">
        <v>26</v>
      </c>
      <c r="J147" t="s">
        <v>26</v>
      </c>
      <c r="K147" t="s">
        <v>1234</v>
      </c>
      <c r="L147" t="s">
        <v>1231</v>
      </c>
      <c r="M147" t="s">
        <v>26</v>
      </c>
      <c r="N147" t="s">
        <v>26</v>
      </c>
      <c r="O147" t="s">
        <v>26</v>
      </c>
      <c r="P147" t="s">
        <v>26</v>
      </c>
      <c r="Q147" t="s">
        <v>26</v>
      </c>
      <c r="R147" t="s">
        <v>1235</v>
      </c>
      <c r="S147" t="s">
        <v>1236</v>
      </c>
    </row>
    <row r="148" spans="1:19" x14ac:dyDescent="0.2">
      <c r="A148" t="s">
        <v>1237</v>
      </c>
      <c r="B148" t="s">
        <v>1238</v>
      </c>
      <c r="C148" t="s">
        <v>1239</v>
      </c>
      <c r="D148" t="s">
        <v>22</v>
      </c>
      <c r="E148" t="b">
        <v>0</v>
      </c>
      <c r="F148" t="s">
        <v>23</v>
      </c>
      <c r="G148" t="s">
        <v>1240</v>
      </c>
      <c r="H148" t="s">
        <v>1241</v>
      </c>
      <c r="I148" s="2" t="d">
        <v>2024-01-01</v>
      </c>
      <c r="J148" t="s">
        <v>27</v>
      </c>
      <c r="K148" t="s">
        <v>1242</v>
      </c>
      <c r="L148" t="s">
        <v>1243</v>
      </c>
      <c r="M148" t="s">
        <v>1244</v>
      </c>
      <c r="N148" t="s">
        <v>26</v>
      </c>
      <c r="O148" t="s">
        <v>26</v>
      </c>
      <c r="P148" t="s">
        <v>26</v>
      </c>
      <c r="Q148" s="3" t="d">
        <v>2026-01-10</v>
      </c>
      <c r="R148" t="s">
        <v>1245</v>
      </c>
      <c r="S148" t="s">
        <v>1246</v>
      </c>
    </row>
    <row r="149" spans="1:19" x14ac:dyDescent="0.2">
      <c r="A149" t="s">
        <v>1247</v>
      </c>
      <c r="B149" t="s">
        <v>26</v>
      </c>
      <c r="C149" t="s">
        <v>1248</v>
      </c>
      <c r="D149" t="s">
        <v>26</v>
      </c>
      <c r="E149" t="s">
        <v>26</v>
      </c>
      <c r="F149" t="s">
        <v>26</v>
      </c>
      <c r="G149" t="s">
        <v>1249</v>
      </c>
      <c r="H149" t="s">
        <v>26</v>
      </c>
      <c r="I149" t="s">
        <v>26</v>
      </c>
      <c r="J149" t="s">
        <v>26</v>
      </c>
      <c r="K149" t="s">
        <v>1250</v>
      </c>
      <c r="L149" t="s">
        <v>1247</v>
      </c>
      <c r="M149" t="s">
        <v>1251</v>
      </c>
      <c r="N149" t="s">
        <v>26</v>
      </c>
      <c r="O149" t="s">
        <v>26</v>
      </c>
      <c r="P149" t="s">
        <v>26</v>
      </c>
      <c r="Q149" t="s">
        <v>26</v>
      </c>
      <c r="R149" t="s">
        <v>1252</v>
      </c>
      <c r="S149" t="s">
        <v>1253</v>
      </c>
    </row>
    <row r="150" spans="1:19" x14ac:dyDescent="0.2">
      <c r="A150" t="s">
        <v>1254</v>
      </c>
      <c r="B150" t="s">
        <v>1254</v>
      </c>
      <c r="C150" t="s">
        <v>1255</v>
      </c>
      <c r="D150" t="s">
        <v>22</v>
      </c>
      <c r="E150" t="b">
        <v>0</v>
      </c>
      <c r="F150" t="s">
        <v>23</v>
      </c>
      <c r="G150" t="s">
        <v>1256</v>
      </c>
      <c r="H150" t="s">
        <v>1257</v>
      </c>
      <c r="I150" t="s">
        <v>26</v>
      </c>
      <c r="J150" t="s">
        <v>27</v>
      </c>
      <c r="K150" t="s">
        <v>1258</v>
      </c>
      <c r="L150" t="s">
        <v>1259</v>
      </c>
      <c r="M150" t="s">
        <v>1260</v>
      </c>
      <c r="N150" t="s">
        <v>26</v>
      </c>
      <c r="O150" t="s">
        <v>1261</v>
      </c>
      <c r="P150" t="s">
        <v>1262</v>
      </c>
      <c r="Q150" s="3" t="d">
        <v>2026-01-10</v>
      </c>
      <c r="R150" t="s">
        <v>1263</v>
      </c>
      <c r="S150" t="s">
        <v>1264</v>
      </c>
    </row>
    <row r="151" spans="1:19" x14ac:dyDescent="0.2">
      <c r="A151" t="s">
        <v>1265</v>
      </c>
      <c r="B151" t="s">
        <v>1265</v>
      </c>
      <c r="C151" t="s">
        <v>1266</v>
      </c>
      <c r="D151" t="s">
        <v>22</v>
      </c>
      <c r="E151" t="b">
        <v>0</v>
      </c>
      <c r="F151" t="s">
        <v>23</v>
      </c>
      <c r="G151" t="s">
        <v>1267</v>
      </c>
      <c r="H151" t="s">
        <v>1268</v>
      </c>
      <c r="I151" t="s">
        <v>26</v>
      </c>
      <c r="J151" t="s">
        <v>27</v>
      </c>
      <c r="K151" t="s">
        <v>1269</v>
      </c>
      <c r="L151" t="s">
        <v>1265</v>
      </c>
      <c r="M151" t="s">
        <v>1270</v>
      </c>
      <c r="N151" t="s">
        <v>1271</v>
      </c>
      <c r="O151" t="s">
        <v>1272</v>
      </c>
      <c r="P151" t="s">
        <v>26</v>
      </c>
      <c r="Q151" t="s">
        <v>54</v>
      </c>
      <c r="R151" t="s">
        <v>1252</v>
      </c>
      <c r="S151" t="s">
        <v>1273</v>
      </c>
    </row>
    <row r="152" spans="1:19" x14ac:dyDescent="0.2">
      <c r="A152" t="s">
        <v>1274</v>
      </c>
      <c r="B152" t="s">
        <v>26</v>
      </c>
      <c r="C152" t="s">
        <v>1275</v>
      </c>
      <c r="D152" t="s">
        <v>26</v>
      </c>
      <c r="E152" t="s">
        <v>26</v>
      </c>
      <c r="F152" t="s">
        <v>26</v>
      </c>
      <c r="G152" t="s">
        <v>1276</v>
      </c>
      <c r="H152" t="s">
        <v>26</v>
      </c>
      <c r="I152" t="s">
        <v>26</v>
      </c>
      <c r="J152" t="s">
        <v>26</v>
      </c>
      <c r="K152" t="s">
        <v>1277</v>
      </c>
      <c r="L152" t="s">
        <v>1274</v>
      </c>
      <c r="M152" t="s">
        <v>26</v>
      </c>
      <c r="N152" t="s">
        <v>26</v>
      </c>
      <c r="O152" t="s">
        <v>26</v>
      </c>
      <c r="P152" t="s">
        <v>26</v>
      </c>
      <c r="Q152" t="s">
        <v>26</v>
      </c>
      <c r="R152" t="s">
        <v>1081</v>
      </c>
      <c r="S152" t="s">
        <v>1278</v>
      </c>
    </row>
    <row r="153" spans="1:19" x14ac:dyDescent="0.2">
      <c r="A153" t="s">
        <v>1279</v>
      </c>
      <c r="B153" t="s">
        <v>26</v>
      </c>
      <c r="C153" t="s">
        <v>1280</v>
      </c>
      <c r="D153" t="s">
        <v>26</v>
      </c>
      <c r="E153" t="s">
        <v>26</v>
      </c>
      <c r="F153" t="s">
        <v>26</v>
      </c>
      <c r="G153" t="s">
        <v>1281</v>
      </c>
      <c r="H153" t="s">
        <v>26</v>
      </c>
      <c r="I153" t="s">
        <v>26</v>
      </c>
      <c r="J153" t="s">
        <v>26</v>
      </c>
      <c r="K153" t="s">
        <v>26</v>
      </c>
      <c r="L153" t="s">
        <v>26</v>
      </c>
      <c r="M153" t="s">
        <v>26</v>
      </c>
      <c r="N153" t="s">
        <v>26</v>
      </c>
      <c r="O153" t="s">
        <v>26</v>
      </c>
      <c r="P153" t="s">
        <v>26</v>
      </c>
      <c r="Q153" t="s">
        <v>26</v>
      </c>
      <c r="R153" t="s">
        <v>448</v>
      </c>
      <c r="S153" t="s">
        <v>1282</v>
      </c>
    </row>
    <row r="154" spans="1:19" x14ac:dyDescent="0.2">
      <c r="A154" t="s">
        <v>1283</v>
      </c>
      <c r="B154" t="s">
        <v>26</v>
      </c>
      <c r="C154" t="s">
        <v>1284</v>
      </c>
      <c r="D154" t="s">
        <v>26</v>
      </c>
      <c r="E154" t="s">
        <v>26</v>
      </c>
      <c r="F154" t="s">
        <v>26</v>
      </c>
      <c r="G154" t="s">
        <v>1285</v>
      </c>
      <c r="H154" t="s">
        <v>26</v>
      </c>
      <c r="I154" t="s">
        <v>26</v>
      </c>
      <c r="J154" t="s">
        <v>26</v>
      </c>
      <c r="K154" t="s">
        <v>1286</v>
      </c>
      <c r="L154" t="s">
        <v>1287</v>
      </c>
      <c r="M154" t="s">
        <v>26</v>
      </c>
      <c r="N154" t="s">
        <v>1288</v>
      </c>
      <c r="O154" t="s">
        <v>26</v>
      </c>
      <c r="P154" t="s">
        <v>26</v>
      </c>
      <c r="Q154" t="s">
        <v>26</v>
      </c>
      <c r="R154" t="s">
        <v>448</v>
      </c>
      <c r="S154" t="s">
        <v>1289</v>
      </c>
    </row>
    <row r="155" spans="1:19" x14ac:dyDescent="0.2">
      <c r="A155" t="s">
        <v>1290</v>
      </c>
      <c r="B155" t="s">
        <v>26</v>
      </c>
      <c r="C155" t="s">
        <v>1291</v>
      </c>
      <c r="D155" t="s">
        <v>26</v>
      </c>
      <c r="E155" t="s">
        <v>26</v>
      </c>
      <c r="F155" t="s">
        <v>26</v>
      </c>
      <c r="G155" t="s">
        <v>1292</v>
      </c>
      <c r="H155" t="s">
        <v>26</v>
      </c>
      <c r="I155" t="s">
        <v>26</v>
      </c>
      <c r="J155" t="s">
        <v>26</v>
      </c>
      <c r="K155" t="s">
        <v>1293</v>
      </c>
      <c r="L155" t="s">
        <v>1290</v>
      </c>
      <c r="M155" t="s">
        <v>26</v>
      </c>
      <c r="N155" t="s">
        <v>26</v>
      </c>
      <c r="O155" t="s">
        <v>26</v>
      </c>
      <c r="P155" t="s">
        <v>26</v>
      </c>
      <c r="Q155" t="s">
        <v>26</v>
      </c>
      <c r="R155" t="s">
        <v>1081</v>
      </c>
      <c r="S155" t="s">
        <v>1294</v>
      </c>
    </row>
    <row r="156" spans="1:19" x14ac:dyDescent="0.2">
      <c r="A156" t="s">
        <v>1295</v>
      </c>
      <c r="B156" t="s">
        <v>1296</v>
      </c>
      <c r="C156" t="s">
        <v>1297</v>
      </c>
      <c r="D156" t="s">
        <v>22</v>
      </c>
      <c r="E156" t="b">
        <v>0</v>
      </c>
      <c r="F156" t="s">
        <v>23</v>
      </c>
      <c r="G156" t="s">
        <v>1298</v>
      </c>
      <c r="H156" t="s">
        <v>1299</v>
      </c>
      <c r="I156" t="s">
        <v>26</v>
      </c>
      <c r="J156" t="s">
        <v>27</v>
      </c>
      <c r="K156" t="s">
        <v>1300</v>
      </c>
      <c r="L156" t="s">
        <v>1296</v>
      </c>
      <c r="M156" t="s">
        <v>26</v>
      </c>
      <c r="N156" t="s">
        <v>26</v>
      </c>
      <c r="O156" t="s">
        <v>1301</v>
      </c>
      <c r="P156" t="s">
        <v>26</v>
      </c>
      <c r="Q156" s="3" t="d">
        <v>2026-01-10</v>
      </c>
      <c r="R156" t="s">
        <v>448</v>
      </c>
      <c r="S156" t="s">
        <v>1302</v>
      </c>
    </row>
    <row r="157" spans="1:19" x14ac:dyDescent="0.2">
      <c r="A157" t="s">
        <v>1303</v>
      </c>
      <c r="B157" t="s">
        <v>1304</v>
      </c>
      <c r="C157" t="s">
        <v>1305</v>
      </c>
      <c r="D157" t="s">
        <v>22</v>
      </c>
      <c r="E157" t="b">
        <v>0</v>
      </c>
      <c r="F157" t="s">
        <v>23</v>
      </c>
      <c r="G157" t="s">
        <v>1306</v>
      </c>
      <c r="H157" t="s">
        <v>56</v>
      </c>
      <c r="I157" t="s">
        <v>26</v>
      </c>
      <c r="J157" t="s">
        <v>27</v>
      </c>
      <c r="K157" t="s">
        <v>26</v>
      </c>
      <c r="L157" t="s">
        <v>26</v>
      </c>
      <c r="M157" t="s">
        <v>26</v>
      </c>
      <c r="N157" t="s">
        <v>26</v>
      </c>
      <c r="O157" t="s">
        <v>26</v>
      </c>
      <c r="P157" t="s">
        <v>26</v>
      </c>
      <c r="Q157" t="s">
        <v>26</v>
      </c>
      <c r="R157" t="s">
        <v>448</v>
      </c>
      <c r="S157" t="s">
        <v>1307</v>
      </c>
    </row>
    <row r="158" spans="1:19" x14ac:dyDescent="0.2">
      <c r="A158" t="s">
        <v>1308</v>
      </c>
      <c r="B158" t="s">
        <v>26</v>
      </c>
      <c r="C158" t="s">
        <v>1309</v>
      </c>
      <c r="D158" t="s">
        <v>26</v>
      </c>
      <c r="E158" t="s">
        <v>26</v>
      </c>
      <c r="F158" t="s">
        <v>26</v>
      </c>
      <c r="G158" t="s">
        <v>1310</v>
      </c>
      <c r="H158" t="s">
        <v>26</v>
      </c>
      <c r="I158" t="s">
        <v>26</v>
      </c>
      <c r="J158" t="s">
        <v>26</v>
      </c>
      <c r="K158" t="s">
        <v>1311</v>
      </c>
      <c r="L158" t="s">
        <v>1312</v>
      </c>
      <c r="M158" t="s">
        <v>1313</v>
      </c>
      <c r="N158" t="s">
        <v>26</v>
      </c>
      <c r="O158" t="s">
        <v>26</v>
      </c>
      <c r="P158" t="s">
        <v>26</v>
      </c>
      <c r="Q158" t="s">
        <v>26</v>
      </c>
      <c r="R158" t="s">
        <v>1081</v>
      </c>
      <c r="S158" t="s">
        <v>1314</v>
      </c>
    </row>
    <row r="159" spans="1:19" x14ac:dyDescent="0.2">
      <c r="A159" t="s">
        <v>1315</v>
      </c>
      <c r="B159" t="s">
        <v>26</v>
      </c>
      <c r="C159" t="s">
        <v>1316</v>
      </c>
      <c r="D159" t="s">
        <v>26</v>
      </c>
      <c r="E159" t="s">
        <v>26</v>
      </c>
      <c r="F159" t="s">
        <v>26</v>
      </c>
      <c r="G159" t="s">
        <v>1317</v>
      </c>
      <c r="H159" t="s">
        <v>26</v>
      </c>
      <c r="I159" t="s">
        <v>26</v>
      </c>
      <c r="J159" t="s">
        <v>26</v>
      </c>
      <c r="K159" t="s">
        <v>1318</v>
      </c>
      <c r="L159" t="s">
        <v>1319</v>
      </c>
      <c r="M159" t="s">
        <v>1320</v>
      </c>
      <c r="N159" t="s">
        <v>26</v>
      </c>
      <c r="O159" t="s">
        <v>26</v>
      </c>
      <c r="P159" t="s">
        <v>26</v>
      </c>
      <c r="Q159" t="s">
        <v>26</v>
      </c>
      <c r="R159" t="s">
        <v>448</v>
      </c>
      <c r="S159" t="s">
        <v>1321</v>
      </c>
    </row>
    <row r="160" spans="1:19" x14ac:dyDescent="0.2">
      <c r="A160" t="s">
        <v>1322</v>
      </c>
      <c r="B160" t="s">
        <v>26</v>
      </c>
      <c r="C160" t="s">
        <v>1323</v>
      </c>
      <c r="D160" t="s">
        <v>26</v>
      </c>
      <c r="E160" t="s">
        <v>26</v>
      </c>
      <c r="F160" t="s">
        <v>26</v>
      </c>
      <c r="G160" t="s">
        <v>1324</v>
      </c>
      <c r="H160" t="s">
        <v>26</v>
      </c>
      <c r="I160" t="s">
        <v>26</v>
      </c>
      <c r="J160" t="s">
        <v>26</v>
      </c>
      <c r="K160" t="s">
        <v>1325</v>
      </c>
      <c r="L160" t="s">
        <v>1326</v>
      </c>
      <c r="M160" t="s">
        <v>1327</v>
      </c>
      <c r="N160" t="s">
        <v>26</v>
      </c>
      <c r="O160" t="s">
        <v>26</v>
      </c>
      <c r="P160" t="s">
        <v>26</v>
      </c>
      <c r="Q160" t="s">
        <v>26</v>
      </c>
      <c r="R160" t="s">
        <v>1328</v>
      </c>
      <c r="S160" t="s">
        <v>1329</v>
      </c>
    </row>
    <row r="161" spans="1:19" x14ac:dyDescent="0.2">
      <c r="A161" t="s">
        <v>1330</v>
      </c>
      <c r="B161" t="s">
        <v>26</v>
      </c>
      <c r="C161" t="s">
        <v>1331</v>
      </c>
      <c r="D161" t="s">
        <v>26</v>
      </c>
      <c r="E161" t="s">
        <v>26</v>
      </c>
      <c r="F161" t="s">
        <v>26</v>
      </c>
      <c r="G161" t="s">
        <v>1332</v>
      </c>
      <c r="H161" t="s">
        <v>26</v>
      </c>
      <c r="I161" t="s">
        <v>26</v>
      </c>
      <c r="J161" t="s">
        <v>26</v>
      </c>
      <c r="K161" t="s">
        <v>1333</v>
      </c>
      <c r="L161" t="s">
        <v>26</v>
      </c>
      <c r="M161" t="s">
        <v>26</v>
      </c>
      <c r="N161" t="s">
        <v>26</v>
      </c>
      <c r="O161" t="s">
        <v>26</v>
      </c>
      <c r="P161" t="s">
        <v>26</v>
      </c>
      <c r="Q161" t="s">
        <v>26</v>
      </c>
      <c r="R161" t="s">
        <v>1059</v>
      </c>
      <c r="S161" t="s">
        <v>1334</v>
      </c>
    </row>
    <row r="162" spans="1:19" x14ac:dyDescent="0.2">
      <c r="A162" t="s">
        <v>1335</v>
      </c>
      <c r="B162" t="s">
        <v>1336</v>
      </c>
      <c r="C162" t="s">
        <v>1337</v>
      </c>
      <c r="D162" t="s">
        <v>22</v>
      </c>
      <c r="E162" t="b">
        <v>0</v>
      </c>
      <c r="F162" t="s">
        <v>23</v>
      </c>
      <c r="G162" t="s">
        <v>1338</v>
      </c>
      <c r="H162" t="s">
        <v>188</v>
      </c>
      <c r="I162" t="s">
        <v>26</v>
      </c>
      <c r="J162" t="s">
        <v>27</v>
      </c>
      <c r="K162" t="s">
        <v>1339</v>
      </c>
      <c r="L162" t="s">
        <v>1340</v>
      </c>
      <c r="M162" t="s">
        <v>26</v>
      </c>
      <c r="N162" t="s">
        <v>26</v>
      </c>
      <c r="O162" t="s">
        <v>26</v>
      </c>
      <c r="P162" t="s">
        <v>26</v>
      </c>
      <c r="Q162" s="1" t="d">
        <v>1950-11-01</v>
      </c>
      <c r="R162" t="s">
        <v>464</v>
      </c>
      <c r="S162" t="s">
        <v>1341</v>
      </c>
    </row>
    <row r="163" spans="1:19" x14ac:dyDescent="0.2">
      <c r="A163" t="s">
        <v>1342</v>
      </c>
      <c r="B163" t="s">
        <v>1343</v>
      </c>
      <c r="C163" t="s">
        <v>1344</v>
      </c>
      <c r="D163" t="s">
        <v>22</v>
      </c>
      <c r="E163" t="b">
        <v>0</v>
      </c>
      <c r="F163" t="s">
        <v>23</v>
      </c>
      <c r="G163" t="s">
        <v>1345</v>
      </c>
      <c r="H163" t="s">
        <v>26</v>
      </c>
      <c r="I163" t="s">
        <v>26</v>
      </c>
      <c r="J163" t="s">
        <v>27</v>
      </c>
      <c r="K163" t="s">
        <v>1346</v>
      </c>
      <c r="L163" t="s">
        <v>1347</v>
      </c>
      <c r="M163" t="s">
        <v>26</v>
      </c>
      <c r="N163" t="s">
        <v>26</v>
      </c>
      <c r="O163" t="s">
        <v>1348</v>
      </c>
      <c r="P163" t="s">
        <v>1349</v>
      </c>
      <c r="Q163" s="3" t="d">
        <v>2026-01-10</v>
      </c>
      <c r="R163" t="s">
        <v>225</v>
      </c>
      <c r="S163" t="s">
        <v>1350</v>
      </c>
    </row>
    <row r="164" spans="1:19" x14ac:dyDescent="0.2">
      <c r="A164" t="s">
        <v>1351</v>
      </c>
      <c r="B164" t="s">
        <v>1351</v>
      </c>
      <c r="C164" t="s">
        <v>1352</v>
      </c>
      <c r="D164" t="s">
        <v>22</v>
      </c>
      <c r="E164" t="b">
        <v>0</v>
      </c>
      <c r="F164" t="s">
        <v>26</v>
      </c>
      <c r="G164" t="s">
        <v>1353</v>
      </c>
      <c r="H164" t="s">
        <v>1354</v>
      </c>
      <c r="I164" t="s">
        <v>26</v>
      </c>
      <c r="J164" t="s">
        <v>27</v>
      </c>
      <c r="K164" t="s">
        <v>1355</v>
      </c>
      <c r="L164" t="s">
        <v>1351</v>
      </c>
      <c r="M164" t="s">
        <v>26</v>
      </c>
      <c r="N164" t="s">
        <v>26</v>
      </c>
      <c r="O164" t="s">
        <v>1356</v>
      </c>
      <c r="P164" t="s">
        <v>26</v>
      </c>
      <c r="Q164" s="3" t="d">
        <v>2026-01-10</v>
      </c>
      <c r="R164" t="s">
        <v>225</v>
      </c>
      <c r="S164" t="s">
        <v>1357</v>
      </c>
    </row>
    <row r="165" spans="1:19" x14ac:dyDescent="0.2">
      <c r="A165" t="s">
        <v>1358</v>
      </c>
      <c r="B165" t="s">
        <v>26</v>
      </c>
      <c r="C165" t="s">
        <v>1359</v>
      </c>
      <c r="D165" t="s">
        <v>26</v>
      </c>
      <c r="E165" t="s">
        <v>26</v>
      </c>
      <c r="F165" t="s">
        <v>26</v>
      </c>
      <c r="G165" t="s">
        <v>1360</v>
      </c>
      <c r="H165" t="s">
        <v>26</v>
      </c>
      <c r="I165" t="s">
        <v>26</v>
      </c>
      <c r="J165" t="s">
        <v>26</v>
      </c>
      <c r="K165" t="s">
        <v>1361</v>
      </c>
      <c r="L165" t="s">
        <v>1362</v>
      </c>
      <c r="M165" t="s">
        <v>1363</v>
      </c>
      <c r="N165" t="s">
        <v>26</v>
      </c>
      <c r="O165" t="s">
        <v>26</v>
      </c>
      <c r="P165" t="s">
        <v>26</v>
      </c>
      <c r="Q165" t="s">
        <v>26</v>
      </c>
      <c r="R165" t="s">
        <v>448</v>
      </c>
      <c r="S165" t="s">
        <v>1364</v>
      </c>
    </row>
    <row r="166" spans="1:19" x14ac:dyDescent="0.2">
      <c r="A166" t="s">
        <v>1365</v>
      </c>
      <c r="B166" t="s">
        <v>1365</v>
      </c>
      <c r="C166" t="s">
        <v>1366</v>
      </c>
      <c r="D166" t="s">
        <v>22</v>
      </c>
      <c r="E166" t="b">
        <v>0</v>
      </c>
      <c r="F166" t="s">
        <v>23</v>
      </c>
      <c r="G166" t="s">
        <v>1367</v>
      </c>
      <c r="H166" t="s">
        <v>26</v>
      </c>
      <c r="I166" t="s">
        <v>26</v>
      </c>
      <c r="J166" t="s">
        <v>27</v>
      </c>
      <c r="K166" t="s">
        <v>1368</v>
      </c>
      <c r="L166" t="s">
        <v>1365</v>
      </c>
      <c r="M166" t="s">
        <v>1369</v>
      </c>
      <c r="N166" t="s">
        <v>26</v>
      </c>
      <c r="O166" t="s">
        <v>1370</v>
      </c>
      <c r="P166">
        <v>17402725844</v>
      </c>
      <c r="Q166" s="1" t="d">
        <v>1950-11-01</v>
      </c>
      <c r="R166" t="s">
        <v>1371</v>
      </c>
      <c r="S166" t="s">
        <v>1372</v>
      </c>
    </row>
    <row r="167" spans="1:19" x14ac:dyDescent="0.2">
      <c r="A167" t="s">
        <v>1373</v>
      </c>
      <c r="B167" t="s">
        <v>26</v>
      </c>
      <c r="C167" t="s">
        <v>1374</v>
      </c>
      <c r="D167" t="s">
        <v>26</v>
      </c>
      <c r="E167" t="s">
        <v>26</v>
      </c>
      <c r="F167" t="s">
        <v>26</v>
      </c>
      <c r="G167" t="s">
        <v>1375</v>
      </c>
      <c r="H167" t="s">
        <v>26</v>
      </c>
      <c r="I167" t="s">
        <v>26</v>
      </c>
      <c r="J167" t="s">
        <v>26</v>
      </c>
      <c r="K167" t="s">
        <v>1376</v>
      </c>
      <c r="L167" t="s">
        <v>1373</v>
      </c>
      <c r="M167" t="s">
        <v>26</v>
      </c>
      <c r="N167" t="s">
        <v>26</v>
      </c>
      <c r="O167" t="s">
        <v>26</v>
      </c>
      <c r="P167" t="s">
        <v>26</v>
      </c>
      <c r="Q167" t="s">
        <v>26</v>
      </c>
      <c r="R167" t="s">
        <v>448</v>
      </c>
      <c r="S167" t="s">
        <v>1377</v>
      </c>
    </row>
    <row r="168" spans="1:19" x14ac:dyDescent="0.2">
      <c r="A168" t="s">
        <v>1378</v>
      </c>
      <c r="B168" t="s">
        <v>1379</v>
      </c>
      <c r="C168" t="s">
        <v>1380</v>
      </c>
      <c r="D168" t="s">
        <v>22</v>
      </c>
      <c r="E168" t="b">
        <v>0</v>
      </c>
      <c r="F168" t="s">
        <v>23</v>
      </c>
      <c r="G168" t="s">
        <v>1381</v>
      </c>
      <c r="H168" t="s">
        <v>1382</v>
      </c>
      <c r="I168" t="s">
        <v>26</v>
      </c>
      <c r="J168" t="s">
        <v>27</v>
      </c>
      <c r="K168" t="s">
        <v>1383</v>
      </c>
      <c r="L168" t="s">
        <v>1384</v>
      </c>
      <c r="M168" t="s">
        <v>1385</v>
      </c>
      <c r="N168" t="s">
        <v>26</v>
      </c>
      <c r="O168" t="s">
        <v>26</v>
      </c>
      <c r="P168" t="s">
        <v>1386</v>
      </c>
      <c r="Q168" s="1" t="d">
        <v>1950-11-01</v>
      </c>
      <c r="R168" t="s">
        <v>1033</v>
      </c>
      <c r="S168" t="s">
        <v>1387</v>
      </c>
    </row>
    <row r="169" spans="1:19" x14ac:dyDescent="0.2">
      <c r="A169" t="s">
        <v>1388</v>
      </c>
      <c r="B169" t="s">
        <v>1389</v>
      </c>
      <c r="C169" t="s">
        <v>1390</v>
      </c>
      <c r="D169" t="s">
        <v>22</v>
      </c>
      <c r="E169" t="b">
        <v>0</v>
      </c>
      <c r="F169" t="s">
        <v>23</v>
      </c>
      <c r="G169" t="s">
        <v>1391</v>
      </c>
      <c r="H169" t="s">
        <v>188</v>
      </c>
      <c r="I169" t="s">
        <v>26</v>
      </c>
      <c r="J169" t="s">
        <v>27</v>
      </c>
      <c r="K169" t="s">
        <v>1392</v>
      </c>
      <c r="L169" t="s">
        <v>1393</v>
      </c>
      <c r="M169" t="s">
        <v>1394</v>
      </c>
      <c r="N169" t="s">
        <v>26</v>
      </c>
      <c r="O169" t="s">
        <v>26</v>
      </c>
      <c r="P169" t="s">
        <v>26</v>
      </c>
      <c r="Q169" t="s">
        <v>40</v>
      </c>
      <c r="R169" t="s">
        <v>464</v>
      </c>
      <c r="S169" t="s">
        <v>1395</v>
      </c>
    </row>
    <row r="170" spans="1:19" x14ac:dyDescent="0.2">
      <c r="A170" t="s">
        <v>1396</v>
      </c>
      <c r="B170" t="s">
        <v>1396</v>
      </c>
      <c r="C170" t="s">
        <v>1397</v>
      </c>
      <c r="D170" t="s">
        <v>22</v>
      </c>
      <c r="E170" t="b">
        <v>0</v>
      </c>
      <c r="F170" t="s">
        <v>23</v>
      </c>
      <c r="G170" t="s">
        <v>1398</v>
      </c>
      <c r="H170" t="s">
        <v>1399</v>
      </c>
      <c r="I170" t="s">
        <v>26</v>
      </c>
      <c r="J170" t="s">
        <v>27</v>
      </c>
      <c r="K170" t="s">
        <v>1400</v>
      </c>
      <c r="L170" t="s">
        <v>1396</v>
      </c>
      <c r="M170" t="s">
        <v>1401</v>
      </c>
      <c r="N170" t="s">
        <v>26</v>
      </c>
      <c r="O170" t="s">
        <v>1402</v>
      </c>
      <c r="P170">
        <v>358408393899</v>
      </c>
      <c r="Q170" s="3" t="d">
        <v>2026-01-10</v>
      </c>
      <c r="R170" t="s">
        <v>464</v>
      </c>
      <c r="S170" t="s">
        <v>1403</v>
      </c>
    </row>
    <row r="171" spans="1:19" x14ac:dyDescent="0.2">
      <c r="A171" t="s">
        <v>1404</v>
      </c>
      <c r="B171" t="s">
        <v>26</v>
      </c>
      <c r="C171" t="s">
        <v>1405</v>
      </c>
      <c r="D171" t="s">
        <v>26</v>
      </c>
      <c r="E171" t="s">
        <v>26</v>
      </c>
      <c r="F171" t="s">
        <v>26</v>
      </c>
      <c r="G171" t="s">
        <v>1406</v>
      </c>
      <c r="H171" t="s">
        <v>26</v>
      </c>
      <c r="I171" t="s">
        <v>26</v>
      </c>
      <c r="J171" t="s">
        <v>26</v>
      </c>
      <c r="K171" t="s">
        <v>1407</v>
      </c>
      <c r="L171" t="s">
        <v>1404</v>
      </c>
      <c r="M171" t="s">
        <v>1408</v>
      </c>
      <c r="N171" t="s">
        <v>26</v>
      </c>
      <c r="O171" t="s">
        <v>26</v>
      </c>
      <c r="P171" t="s">
        <v>26</v>
      </c>
      <c r="Q171" t="s">
        <v>26</v>
      </c>
      <c r="R171" t="s">
        <v>448</v>
      </c>
      <c r="S171" t="s">
        <v>1409</v>
      </c>
    </row>
    <row r="172" spans="1:19" x14ac:dyDescent="0.2">
      <c r="A172" t="s">
        <v>1410</v>
      </c>
      <c r="B172" t="s">
        <v>26</v>
      </c>
      <c r="C172" t="s">
        <v>1411</v>
      </c>
      <c r="D172" t="s">
        <v>26</v>
      </c>
      <c r="E172" t="s">
        <v>26</v>
      </c>
      <c r="F172" t="s">
        <v>26</v>
      </c>
      <c r="G172" t="s">
        <v>1412</v>
      </c>
      <c r="H172" t="s">
        <v>26</v>
      </c>
      <c r="I172" t="s">
        <v>26</v>
      </c>
      <c r="J172" t="s">
        <v>26</v>
      </c>
      <c r="K172" t="s">
        <v>26</v>
      </c>
      <c r="L172" t="s">
        <v>26</v>
      </c>
      <c r="M172" t="s">
        <v>26</v>
      </c>
      <c r="N172" t="s">
        <v>26</v>
      </c>
      <c r="O172" t="s">
        <v>26</v>
      </c>
      <c r="P172" t="s">
        <v>26</v>
      </c>
      <c r="Q172" t="s">
        <v>26</v>
      </c>
      <c r="R172" t="s">
        <v>448</v>
      </c>
      <c r="S172" t="s">
        <v>1413</v>
      </c>
    </row>
    <row r="173" spans="1:19" x14ac:dyDescent="0.2">
      <c r="A173" t="s">
        <v>1414</v>
      </c>
      <c r="B173" t="s">
        <v>26</v>
      </c>
      <c r="C173" t="s">
        <v>1415</v>
      </c>
      <c r="D173" t="s">
        <v>26</v>
      </c>
      <c r="E173" t="s">
        <v>26</v>
      </c>
      <c r="F173" t="s">
        <v>26</v>
      </c>
      <c r="G173" t="s">
        <v>1416</v>
      </c>
      <c r="H173" t="s">
        <v>26</v>
      </c>
      <c r="I173" t="s">
        <v>26</v>
      </c>
      <c r="J173" t="s">
        <v>26</v>
      </c>
      <c r="K173" t="s">
        <v>1417</v>
      </c>
      <c r="L173" t="s">
        <v>26</v>
      </c>
      <c r="M173" t="s">
        <v>26</v>
      </c>
      <c r="N173" t="s">
        <v>26</v>
      </c>
      <c r="O173" t="s">
        <v>26</v>
      </c>
      <c r="P173" t="s">
        <v>26</v>
      </c>
      <c r="Q173" t="s">
        <v>26</v>
      </c>
      <c r="R173" t="s">
        <v>448</v>
      </c>
      <c r="S173" t="s">
        <v>1418</v>
      </c>
    </row>
    <row r="174" spans="1:19" x14ac:dyDescent="0.2">
      <c r="A174" t="s">
        <v>1419</v>
      </c>
      <c r="B174" t="s">
        <v>26</v>
      </c>
      <c r="C174" t="s">
        <v>1420</v>
      </c>
      <c r="D174" t="s">
        <v>26</v>
      </c>
      <c r="E174" t="s">
        <v>26</v>
      </c>
      <c r="F174" t="s">
        <v>26</v>
      </c>
      <c r="G174" t="s">
        <v>1421</v>
      </c>
      <c r="H174" t="s">
        <v>26</v>
      </c>
      <c r="I174" t="s">
        <v>26</v>
      </c>
      <c r="J174" t="s">
        <v>26</v>
      </c>
      <c r="K174" t="s">
        <v>26</v>
      </c>
      <c r="L174" t="s">
        <v>26</v>
      </c>
      <c r="M174" t="s">
        <v>1422</v>
      </c>
      <c r="N174" t="s">
        <v>26</v>
      </c>
      <c r="O174" t="s">
        <v>26</v>
      </c>
      <c r="P174" t="s">
        <v>26</v>
      </c>
      <c r="Q174" t="s">
        <v>26</v>
      </c>
      <c r="R174" t="s">
        <v>448</v>
      </c>
      <c r="S174" t="s">
        <v>1423</v>
      </c>
    </row>
    <row r="175" spans="1:19" x14ac:dyDescent="0.2">
      <c r="A175" t="s">
        <v>1424</v>
      </c>
      <c r="B175" t="s">
        <v>26</v>
      </c>
      <c r="C175" t="s">
        <v>1425</v>
      </c>
      <c r="D175" t="s">
        <v>26</v>
      </c>
      <c r="E175" t="s">
        <v>26</v>
      </c>
      <c r="F175" t="s">
        <v>26</v>
      </c>
      <c r="G175" t="s">
        <v>1426</v>
      </c>
      <c r="H175" t="s">
        <v>26</v>
      </c>
      <c r="I175" t="s">
        <v>26</v>
      </c>
      <c r="J175" t="s">
        <v>26</v>
      </c>
      <c r="K175" t="s">
        <v>1427</v>
      </c>
      <c r="L175" t="s">
        <v>1428</v>
      </c>
      <c r="M175" t="s">
        <v>26</v>
      </c>
      <c r="N175" t="s">
        <v>26</v>
      </c>
      <c r="O175" t="s">
        <v>26</v>
      </c>
      <c r="P175" t="s">
        <v>26</v>
      </c>
      <c r="Q175" t="s">
        <v>26</v>
      </c>
      <c r="R175" t="s">
        <v>448</v>
      </c>
      <c r="S175" t="s">
        <v>1429</v>
      </c>
    </row>
    <row r="176" spans="1:19" x14ac:dyDescent="0.2">
      <c r="A176" t="s">
        <v>1430</v>
      </c>
      <c r="B176" t="s">
        <v>26</v>
      </c>
      <c r="C176" t="s">
        <v>1431</v>
      </c>
      <c r="D176" t="s">
        <v>26</v>
      </c>
      <c r="E176" t="s">
        <v>26</v>
      </c>
      <c r="F176" t="s">
        <v>26</v>
      </c>
      <c r="G176" t="s">
        <v>1432</v>
      </c>
      <c r="H176" t="s">
        <v>26</v>
      </c>
      <c r="I176" t="s">
        <v>26</v>
      </c>
      <c r="J176" t="s">
        <v>26</v>
      </c>
      <c r="K176" t="s">
        <v>26</v>
      </c>
      <c r="L176" t="s">
        <v>26</v>
      </c>
      <c r="M176" t="s">
        <v>26</v>
      </c>
      <c r="N176" t="s">
        <v>26</v>
      </c>
      <c r="O176" t="s">
        <v>26</v>
      </c>
      <c r="P176" t="s">
        <v>26</v>
      </c>
      <c r="Q176" t="s">
        <v>26</v>
      </c>
      <c r="R176" t="s">
        <v>448</v>
      </c>
      <c r="S176" t="s">
        <v>1433</v>
      </c>
    </row>
    <row r="177" spans="1:19" x14ac:dyDescent="0.2">
      <c r="A177" t="s">
        <v>1434</v>
      </c>
      <c r="B177" t="s">
        <v>1434</v>
      </c>
      <c r="C177" t="s">
        <v>1435</v>
      </c>
      <c r="D177" t="s">
        <v>22</v>
      </c>
      <c r="E177" t="b">
        <v>0</v>
      </c>
      <c r="F177" t="s">
        <v>23</v>
      </c>
      <c r="G177" t="s">
        <v>1436</v>
      </c>
      <c r="H177" t="s">
        <v>1437</v>
      </c>
      <c r="I177" s="2" t="d">
        <v>2021-01-01</v>
      </c>
      <c r="J177" t="s">
        <v>27</v>
      </c>
      <c r="K177" t="s">
        <v>1438</v>
      </c>
      <c r="L177" t="s">
        <v>26</v>
      </c>
      <c r="M177" t="s">
        <v>1439</v>
      </c>
      <c r="N177" t="s">
        <v>26</v>
      </c>
      <c r="O177" t="s">
        <v>26</v>
      </c>
      <c r="P177" t="s">
        <v>26</v>
      </c>
      <c r="Q177" s="1" t="d">
        <v>1950-11-01</v>
      </c>
      <c r="R177" t="s">
        <v>41</v>
      </c>
      <c r="S177" t="s">
        <v>1440</v>
      </c>
    </row>
    <row r="178" spans="1:19" x14ac:dyDescent="0.2">
      <c r="A178" t="s">
        <v>1441</v>
      </c>
      <c r="B178" t="s">
        <v>1441</v>
      </c>
      <c r="C178" t="s">
        <v>1442</v>
      </c>
      <c r="D178" t="s">
        <v>22</v>
      </c>
      <c r="E178" t="b">
        <v>0</v>
      </c>
      <c r="F178" t="s">
        <v>23</v>
      </c>
      <c r="G178" t="s">
        <v>1443</v>
      </c>
      <c r="H178" t="s">
        <v>1065</v>
      </c>
      <c r="I178" t="s">
        <v>26</v>
      </c>
      <c r="J178" t="s">
        <v>27</v>
      </c>
      <c r="K178" t="s">
        <v>1444</v>
      </c>
      <c r="L178" t="s">
        <v>1441</v>
      </c>
      <c r="M178" t="s">
        <v>1445</v>
      </c>
      <c r="N178" t="s">
        <v>26</v>
      </c>
      <c r="O178" t="s">
        <v>26</v>
      </c>
      <c r="P178" t="s">
        <v>26</v>
      </c>
      <c r="Q178" t="s">
        <v>54</v>
      </c>
      <c r="R178" t="s">
        <v>1446</v>
      </c>
      <c r="S178" t="s">
        <v>1447</v>
      </c>
    </row>
    <row r="179" spans="1:19" x14ac:dyDescent="0.2">
      <c r="A179" t="s">
        <v>1448</v>
      </c>
      <c r="B179" t="s">
        <v>1448</v>
      </c>
      <c r="C179" t="s">
        <v>1449</v>
      </c>
      <c r="D179" t="s">
        <v>22</v>
      </c>
      <c r="E179" t="b">
        <v>0</v>
      </c>
      <c r="F179" t="s">
        <v>23</v>
      </c>
      <c r="G179" t="s">
        <v>1450</v>
      </c>
      <c r="H179" t="s">
        <v>1451</v>
      </c>
      <c r="I179" t="s">
        <v>26</v>
      </c>
      <c r="J179" t="s">
        <v>27</v>
      </c>
      <c r="K179" t="s">
        <v>1452</v>
      </c>
      <c r="L179" t="s">
        <v>1453</v>
      </c>
      <c r="M179" t="s">
        <v>1454</v>
      </c>
      <c r="N179" t="s">
        <v>26</v>
      </c>
      <c r="O179" t="s">
        <v>1455</v>
      </c>
      <c r="P179" t="s">
        <v>1456</v>
      </c>
      <c r="Q179" s="1" t="d">
        <v>1950-11-01</v>
      </c>
      <c r="R179" t="s">
        <v>1457</v>
      </c>
      <c r="S179" t="s">
        <v>1458</v>
      </c>
    </row>
    <row r="180" spans="1:19" x14ac:dyDescent="0.2">
      <c r="A180" t="s">
        <v>1459</v>
      </c>
      <c r="B180" t="s">
        <v>26</v>
      </c>
      <c r="C180" t="s">
        <v>1460</v>
      </c>
      <c r="D180" t="s">
        <v>26</v>
      </c>
      <c r="E180" t="s">
        <v>26</v>
      </c>
      <c r="F180" t="s">
        <v>26</v>
      </c>
      <c r="G180" t="s">
        <v>1461</v>
      </c>
      <c r="H180" t="s">
        <v>26</v>
      </c>
      <c r="I180" t="s">
        <v>26</v>
      </c>
      <c r="J180" t="s">
        <v>26</v>
      </c>
      <c r="K180" t="s">
        <v>1462</v>
      </c>
      <c r="L180" t="s">
        <v>1463</v>
      </c>
      <c r="M180" t="s">
        <v>1464</v>
      </c>
      <c r="N180" t="s">
        <v>26</v>
      </c>
      <c r="O180" t="s">
        <v>26</v>
      </c>
      <c r="P180" t="s">
        <v>26</v>
      </c>
      <c r="Q180" t="s">
        <v>26</v>
      </c>
      <c r="R180" t="s">
        <v>431</v>
      </c>
      <c r="S180" t="s">
        <v>1465</v>
      </c>
    </row>
    <row r="181" spans="1:19" x14ac:dyDescent="0.2">
      <c r="A181" t="s">
        <v>1466</v>
      </c>
      <c r="B181" t="s">
        <v>1467</v>
      </c>
      <c r="C181" t="s">
        <v>1468</v>
      </c>
      <c r="D181" t="s">
        <v>22</v>
      </c>
      <c r="E181" t="b">
        <v>0</v>
      </c>
      <c r="F181" t="s">
        <v>23</v>
      </c>
      <c r="G181" t="s">
        <v>1469</v>
      </c>
      <c r="H181" t="s">
        <v>1470</v>
      </c>
      <c r="I181" t="s">
        <v>26</v>
      </c>
      <c r="J181" t="s">
        <v>27</v>
      </c>
      <c r="K181" t="s">
        <v>1471</v>
      </c>
      <c r="L181" t="s">
        <v>1472</v>
      </c>
      <c r="M181" t="s">
        <v>1473</v>
      </c>
      <c r="N181" t="s">
        <v>26</v>
      </c>
      <c r="O181" t="s">
        <v>1474</v>
      </c>
      <c r="P181" t="s">
        <v>26</v>
      </c>
      <c r="Q181" s="3" t="d">
        <v>2026-01-10</v>
      </c>
      <c r="R181" t="s">
        <v>1475</v>
      </c>
      <c r="S181" t="s">
        <v>1476</v>
      </c>
    </row>
    <row r="182" spans="1:19" x14ac:dyDescent="0.2">
      <c r="A182" t="s">
        <v>1477</v>
      </c>
      <c r="B182" t="s">
        <v>1477</v>
      </c>
      <c r="C182" t="s">
        <v>1478</v>
      </c>
      <c r="D182" t="s">
        <v>22</v>
      </c>
      <c r="E182" t="b">
        <v>0</v>
      </c>
      <c r="F182" t="s">
        <v>23</v>
      </c>
      <c r="G182" t="s">
        <v>1479</v>
      </c>
      <c r="H182" t="s">
        <v>349</v>
      </c>
      <c r="I182" t="s">
        <v>26</v>
      </c>
      <c r="J182" t="s">
        <v>27</v>
      </c>
      <c r="K182" t="s">
        <v>1480</v>
      </c>
      <c r="L182" t="s">
        <v>1477</v>
      </c>
      <c r="M182" t="s">
        <v>26</v>
      </c>
      <c r="N182" t="s">
        <v>1481</v>
      </c>
      <c r="O182" t="s">
        <v>1482</v>
      </c>
      <c r="P182" t="s">
        <v>1483</v>
      </c>
      <c r="Q182" s="1" t="d">
        <v>1950-11-01</v>
      </c>
      <c r="R182" t="s">
        <v>1484</v>
      </c>
      <c r="S182" t="s">
        <v>1485</v>
      </c>
    </row>
    <row r="183" spans="1:19" x14ac:dyDescent="0.2">
      <c r="A183" t="s">
        <v>1486</v>
      </c>
      <c r="B183" t="s">
        <v>1486</v>
      </c>
      <c r="C183" t="s">
        <v>1487</v>
      </c>
      <c r="D183" t="s">
        <v>22</v>
      </c>
      <c r="E183" t="b">
        <v>0</v>
      </c>
      <c r="F183" t="s">
        <v>23</v>
      </c>
      <c r="G183" t="s">
        <v>1488</v>
      </c>
      <c r="H183" t="s">
        <v>801</v>
      </c>
      <c r="I183" t="s">
        <v>26</v>
      </c>
      <c r="J183" t="s">
        <v>27</v>
      </c>
      <c r="K183" t="s">
        <v>1489</v>
      </c>
      <c r="L183" t="s">
        <v>1490</v>
      </c>
      <c r="M183" t="s">
        <v>1491</v>
      </c>
      <c r="N183" t="s">
        <v>1492</v>
      </c>
      <c r="O183" t="s">
        <v>1493</v>
      </c>
      <c r="P183" t="s">
        <v>26</v>
      </c>
      <c r="Q183" s="1" t="d">
        <v>1950-11-01</v>
      </c>
      <c r="R183" t="s">
        <v>225</v>
      </c>
      <c r="S183" t="s">
        <v>1494</v>
      </c>
    </row>
    <row r="184" spans="1:19" x14ac:dyDescent="0.2">
      <c r="A184" t="s">
        <v>1495</v>
      </c>
      <c r="B184" t="s">
        <v>1495</v>
      </c>
      <c r="C184" t="s">
        <v>1496</v>
      </c>
      <c r="D184" t="s">
        <v>22</v>
      </c>
      <c r="E184" t="b">
        <v>0</v>
      </c>
      <c r="F184" t="s">
        <v>23</v>
      </c>
      <c r="G184" t="s">
        <v>1497</v>
      </c>
      <c r="H184" t="s">
        <v>1498</v>
      </c>
      <c r="I184" t="s">
        <v>26</v>
      </c>
      <c r="J184" t="s">
        <v>27</v>
      </c>
      <c r="K184" t="s">
        <v>1499</v>
      </c>
      <c r="L184" t="s">
        <v>1500</v>
      </c>
      <c r="M184" t="s">
        <v>1501</v>
      </c>
      <c r="N184" t="s">
        <v>26</v>
      </c>
      <c r="O184" t="s">
        <v>1502</v>
      </c>
      <c r="P184" t="s">
        <v>1503</v>
      </c>
      <c r="Q184" s="1" t="d">
        <v>1950-11-01</v>
      </c>
      <c r="R184" t="s">
        <v>225</v>
      </c>
      <c r="S184" t="s">
        <v>1504</v>
      </c>
    </row>
    <row r="185" spans="1:19" x14ac:dyDescent="0.2">
      <c r="A185" t="s">
        <v>1505</v>
      </c>
      <c r="B185" t="s">
        <v>1506</v>
      </c>
      <c r="C185" t="s">
        <v>1507</v>
      </c>
      <c r="D185" t="s">
        <v>22</v>
      </c>
      <c r="E185" t="b">
        <v>0</v>
      </c>
      <c r="F185" t="s">
        <v>23</v>
      </c>
      <c r="G185" t="s">
        <v>1508</v>
      </c>
      <c r="H185" t="s">
        <v>1509</v>
      </c>
      <c r="I185" s="2" t="d">
        <v>2022-01-01</v>
      </c>
      <c r="J185" t="s">
        <v>27</v>
      </c>
      <c r="K185" t="s">
        <v>1510</v>
      </c>
      <c r="L185" t="s">
        <v>1511</v>
      </c>
      <c r="M185" t="s">
        <v>1512</v>
      </c>
      <c r="N185" t="s">
        <v>1513</v>
      </c>
      <c r="O185" t="s">
        <v>1514</v>
      </c>
      <c r="P185" t="s">
        <v>26</v>
      </c>
      <c r="Q185" s="1" t="d">
        <v>1950-11-01</v>
      </c>
      <c r="R185" t="s">
        <v>41</v>
      </c>
      <c r="S185" t="s">
        <v>1515</v>
      </c>
    </row>
    <row r="186" spans="1:19" x14ac:dyDescent="0.2">
      <c r="A186" t="s">
        <v>1516</v>
      </c>
      <c r="B186" t="s">
        <v>1516</v>
      </c>
      <c r="C186" t="s">
        <v>1517</v>
      </c>
      <c r="D186" t="s">
        <v>22</v>
      </c>
      <c r="E186" t="b">
        <v>0</v>
      </c>
      <c r="F186" t="s">
        <v>23</v>
      </c>
      <c r="G186" t="s">
        <v>1518</v>
      </c>
      <c r="H186" t="s">
        <v>436</v>
      </c>
      <c r="I186" s="2" t="d">
        <v>2009-01-01</v>
      </c>
      <c r="J186" t="s">
        <v>27</v>
      </c>
      <c r="K186" t="s">
        <v>1519</v>
      </c>
      <c r="L186" t="s">
        <v>1520</v>
      </c>
      <c r="M186" t="s">
        <v>1521</v>
      </c>
      <c r="N186" t="s">
        <v>1522</v>
      </c>
      <c r="O186" t="s">
        <v>1523</v>
      </c>
      <c r="P186" t="s">
        <v>26</v>
      </c>
      <c r="Q186" s="1" t="d">
        <v>1950-11-01</v>
      </c>
      <c r="R186" t="s">
        <v>41</v>
      </c>
      <c r="S186" t="s">
        <v>1524</v>
      </c>
    </row>
    <row r="187" spans="1:19" x14ac:dyDescent="0.2">
      <c r="A187" t="s">
        <v>1525</v>
      </c>
      <c r="B187" t="s">
        <v>1525</v>
      </c>
      <c r="C187" t="s">
        <v>1526</v>
      </c>
      <c r="D187" t="s">
        <v>22</v>
      </c>
      <c r="E187" t="b">
        <v>0</v>
      </c>
      <c r="F187" t="s">
        <v>23</v>
      </c>
      <c r="G187" t="s">
        <v>1527</v>
      </c>
      <c r="H187" t="s">
        <v>1528</v>
      </c>
      <c r="I187" s="2" t="d">
        <v>2023-01-01</v>
      </c>
      <c r="J187" t="s">
        <v>27</v>
      </c>
      <c r="K187" t="s">
        <v>1529</v>
      </c>
      <c r="L187" t="s">
        <v>1525</v>
      </c>
      <c r="M187" t="s">
        <v>1530</v>
      </c>
      <c r="N187" t="s">
        <v>26</v>
      </c>
      <c r="O187" t="s">
        <v>1531</v>
      </c>
      <c r="P187" t="s">
        <v>1532</v>
      </c>
      <c r="Q187" s="3" t="d">
        <v>2026-01-10</v>
      </c>
      <c r="R187" t="s">
        <v>41</v>
      </c>
      <c r="S187" t="s">
        <v>1533</v>
      </c>
    </row>
    <row r="188" spans="1:19" x14ac:dyDescent="0.2">
      <c r="A188" t="s">
        <v>1534</v>
      </c>
      <c r="B188" t="s">
        <v>1534</v>
      </c>
      <c r="C188" t="s">
        <v>1535</v>
      </c>
      <c r="D188" t="s">
        <v>22</v>
      </c>
      <c r="E188" t="b">
        <v>0</v>
      </c>
      <c r="F188" t="s">
        <v>23</v>
      </c>
      <c r="G188" t="s">
        <v>1536</v>
      </c>
      <c r="H188" t="s">
        <v>682</v>
      </c>
      <c r="I188" t="s">
        <v>26</v>
      </c>
      <c r="J188" t="s">
        <v>27</v>
      </c>
      <c r="K188" t="s">
        <v>1537</v>
      </c>
      <c r="L188" t="s">
        <v>1538</v>
      </c>
      <c r="M188" t="s">
        <v>1539</v>
      </c>
      <c r="N188" t="s">
        <v>26</v>
      </c>
      <c r="O188" t="s">
        <v>1540</v>
      </c>
      <c r="P188" t="s">
        <v>1541</v>
      </c>
      <c r="Q188" s="1" t="d">
        <v>1950-11-01</v>
      </c>
      <c r="R188" t="s">
        <v>628</v>
      </c>
      <c r="S188" t="s">
        <v>1542</v>
      </c>
    </row>
    <row r="189" spans="1:19" x14ac:dyDescent="0.2">
      <c r="A189" t="s">
        <v>1543</v>
      </c>
      <c r="B189" t="s">
        <v>1543</v>
      </c>
      <c r="C189" t="s">
        <v>1544</v>
      </c>
      <c r="D189" t="s">
        <v>22</v>
      </c>
      <c r="E189" t="b">
        <v>0</v>
      </c>
      <c r="F189" t="s">
        <v>23</v>
      </c>
      <c r="G189" t="s">
        <v>1545</v>
      </c>
      <c r="H189" t="s">
        <v>1546</v>
      </c>
      <c r="I189" s="2" t="d">
        <v>2022-01-01</v>
      </c>
      <c r="J189" t="s">
        <v>27</v>
      </c>
      <c r="K189" t="s">
        <v>1547</v>
      </c>
      <c r="L189" t="s">
        <v>1543</v>
      </c>
      <c r="M189" t="s">
        <v>1548</v>
      </c>
      <c r="N189" t="s">
        <v>1549</v>
      </c>
      <c r="O189" t="s">
        <v>1550</v>
      </c>
      <c r="P189" t="s">
        <v>26</v>
      </c>
      <c r="Q189" s="1" t="d">
        <v>1950-11-01</v>
      </c>
      <c r="R189" t="s">
        <v>41</v>
      </c>
      <c r="S189" t="s">
        <v>1551</v>
      </c>
    </row>
    <row r="190" spans="1:19" x14ac:dyDescent="0.2">
      <c r="A190" t="s">
        <v>1552</v>
      </c>
      <c r="B190" t="s">
        <v>1553</v>
      </c>
      <c r="C190" t="s">
        <v>1554</v>
      </c>
      <c r="D190" t="s">
        <v>22</v>
      </c>
      <c r="E190" t="b">
        <v>0</v>
      </c>
      <c r="F190" t="s">
        <v>23</v>
      </c>
      <c r="G190" t="s">
        <v>1555</v>
      </c>
      <c r="H190" t="s">
        <v>196</v>
      </c>
      <c r="I190" s="2" t="d">
        <v>2023-01-01</v>
      </c>
      <c r="J190" t="s">
        <v>27</v>
      </c>
      <c r="K190" t="s">
        <v>1556</v>
      </c>
      <c r="L190" t="s">
        <v>1557</v>
      </c>
      <c r="M190" t="s">
        <v>1558</v>
      </c>
      <c r="N190" t="s">
        <v>26</v>
      </c>
      <c r="O190" t="s">
        <v>1559</v>
      </c>
      <c r="P190" t="s">
        <v>26</v>
      </c>
      <c r="Q190" s="3" t="d">
        <v>2026-01-10</v>
      </c>
      <c r="R190" t="s">
        <v>1560</v>
      </c>
      <c r="S190" t="s">
        <v>1561</v>
      </c>
    </row>
    <row r="191" spans="1:19" x14ac:dyDescent="0.2">
      <c r="A191" t="s">
        <v>1562</v>
      </c>
      <c r="B191" t="s">
        <v>1562</v>
      </c>
      <c r="C191" t="s">
        <v>1563</v>
      </c>
      <c r="D191" t="s">
        <v>22</v>
      </c>
      <c r="E191" t="b">
        <v>0</v>
      </c>
      <c r="F191" t="s">
        <v>23</v>
      </c>
      <c r="G191" t="s">
        <v>1564</v>
      </c>
      <c r="H191" t="s">
        <v>1565</v>
      </c>
      <c r="I191" t="s">
        <v>26</v>
      </c>
      <c r="J191" t="s">
        <v>27</v>
      </c>
      <c r="K191" t="s">
        <v>1566</v>
      </c>
      <c r="L191" t="s">
        <v>1567</v>
      </c>
      <c r="M191" t="s">
        <v>1568</v>
      </c>
      <c r="N191" t="s">
        <v>26</v>
      </c>
      <c r="O191" t="s">
        <v>1569</v>
      </c>
      <c r="P191" t="s">
        <v>1570</v>
      </c>
      <c r="Q191" s="1" t="d">
        <v>1950-11-01</v>
      </c>
      <c r="R191" t="s">
        <v>464</v>
      </c>
      <c r="S191" t="s">
        <v>1571</v>
      </c>
    </row>
    <row r="192" spans="1:19" x14ac:dyDescent="0.2">
      <c r="A192" t="s">
        <v>1572</v>
      </c>
      <c r="B192" t="s">
        <v>1573</v>
      </c>
      <c r="C192" t="s">
        <v>1574</v>
      </c>
      <c r="D192" t="s">
        <v>22</v>
      </c>
      <c r="E192" t="b">
        <v>0</v>
      </c>
      <c r="F192" t="s">
        <v>23</v>
      </c>
      <c r="G192" t="s">
        <v>1575</v>
      </c>
      <c r="H192" t="s">
        <v>1064</v>
      </c>
      <c r="I192" t="s">
        <v>26</v>
      </c>
      <c r="J192" t="s">
        <v>27</v>
      </c>
      <c r="K192" t="s">
        <v>1576</v>
      </c>
      <c r="L192" t="s">
        <v>26</v>
      </c>
      <c r="M192" t="s">
        <v>1577</v>
      </c>
      <c r="N192" t="s">
        <v>26</v>
      </c>
      <c r="O192" t="s">
        <v>26</v>
      </c>
      <c r="P192" t="s">
        <v>26</v>
      </c>
      <c r="Q192" s="1" t="d">
        <v>1950-11-01</v>
      </c>
      <c r="R192" t="s">
        <v>1578</v>
      </c>
      <c r="S192" t="s">
        <v>1579</v>
      </c>
    </row>
    <row r="193" spans="1:19" x14ac:dyDescent="0.2">
      <c r="A193" t="s">
        <v>1580</v>
      </c>
      <c r="B193" t="s">
        <v>1580</v>
      </c>
      <c r="C193" t="s">
        <v>1581</v>
      </c>
      <c r="D193" t="s">
        <v>22</v>
      </c>
      <c r="E193" t="b">
        <v>0</v>
      </c>
      <c r="F193" t="s">
        <v>23</v>
      </c>
      <c r="G193" t="s">
        <v>1582</v>
      </c>
      <c r="H193" t="s">
        <v>634</v>
      </c>
      <c r="I193" t="s">
        <v>26</v>
      </c>
      <c r="J193" t="s">
        <v>27</v>
      </c>
      <c r="K193" t="s">
        <v>1583</v>
      </c>
      <c r="L193" t="s">
        <v>1580</v>
      </c>
      <c r="M193" t="s">
        <v>1584</v>
      </c>
      <c r="N193" t="s">
        <v>1585</v>
      </c>
      <c r="O193" t="s">
        <v>1586</v>
      </c>
      <c r="P193" t="s">
        <v>1587</v>
      </c>
      <c r="Q193" t="s">
        <v>54</v>
      </c>
      <c r="R193" t="s">
        <v>41</v>
      </c>
      <c r="S193" t="s">
        <v>1588</v>
      </c>
    </row>
    <row r="194" spans="1:19" x14ac:dyDescent="0.2">
      <c r="A194" t="s">
        <v>1589</v>
      </c>
      <c r="B194" t="s">
        <v>1589</v>
      </c>
      <c r="C194" t="s">
        <v>1590</v>
      </c>
      <c r="D194" t="s">
        <v>22</v>
      </c>
      <c r="E194" t="b">
        <v>0</v>
      </c>
      <c r="F194" t="s">
        <v>23</v>
      </c>
      <c r="G194" t="s">
        <v>1591</v>
      </c>
      <c r="H194" t="s">
        <v>1592</v>
      </c>
      <c r="I194" t="s">
        <v>26</v>
      </c>
      <c r="J194" t="s">
        <v>27</v>
      </c>
      <c r="K194" t="s">
        <v>1593</v>
      </c>
      <c r="L194" t="s">
        <v>1589</v>
      </c>
      <c r="M194" t="s">
        <v>26</v>
      </c>
      <c r="N194" t="s">
        <v>26</v>
      </c>
      <c r="O194" t="s">
        <v>1594</v>
      </c>
      <c r="P194" t="s">
        <v>26</v>
      </c>
      <c r="Q194" s="3" t="d">
        <v>2026-01-10</v>
      </c>
      <c r="R194" t="s">
        <v>540</v>
      </c>
      <c r="S194" t="s">
        <v>1595</v>
      </c>
    </row>
    <row r="195" spans="1:19" x14ac:dyDescent="0.2">
      <c r="A195" t="s">
        <v>1596</v>
      </c>
      <c r="B195" t="s">
        <v>26</v>
      </c>
      <c r="C195" t="s">
        <v>1597</v>
      </c>
      <c r="D195" t="s">
        <v>26</v>
      </c>
      <c r="E195" t="s">
        <v>26</v>
      </c>
      <c r="F195" t="s">
        <v>26</v>
      </c>
      <c r="G195" t="s">
        <v>1598</v>
      </c>
      <c r="H195" t="s">
        <v>26</v>
      </c>
      <c r="I195" t="s">
        <v>26</v>
      </c>
      <c r="J195" t="s">
        <v>26</v>
      </c>
      <c r="K195" t="s">
        <v>1599</v>
      </c>
      <c r="L195" t="s">
        <v>1596</v>
      </c>
      <c r="M195" t="s">
        <v>1600</v>
      </c>
      <c r="N195" t="s">
        <v>26</v>
      </c>
      <c r="O195" t="s">
        <v>26</v>
      </c>
      <c r="P195" t="s">
        <v>26</v>
      </c>
      <c r="Q195" t="s">
        <v>26</v>
      </c>
      <c r="R195" t="s">
        <v>1601</v>
      </c>
      <c r="S195" t="s">
        <v>1602</v>
      </c>
    </row>
    <row r="196" spans="1:19" x14ac:dyDescent="0.2">
      <c r="A196" t="s">
        <v>1603</v>
      </c>
      <c r="B196" t="s">
        <v>1604</v>
      </c>
      <c r="C196" t="s">
        <v>1605</v>
      </c>
      <c r="D196" t="s">
        <v>22</v>
      </c>
      <c r="E196" t="b">
        <v>0</v>
      </c>
      <c r="F196" t="s">
        <v>23</v>
      </c>
      <c r="G196" t="s">
        <v>1606</v>
      </c>
      <c r="H196" t="s">
        <v>1607</v>
      </c>
      <c r="I196" t="s">
        <v>26</v>
      </c>
      <c r="J196" t="s">
        <v>27</v>
      </c>
      <c r="K196" t="s">
        <v>1608</v>
      </c>
      <c r="L196" t="s">
        <v>1609</v>
      </c>
      <c r="M196" t="s">
        <v>1610</v>
      </c>
      <c r="N196" t="s">
        <v>26</v>
      </c>
      <c r="O196" t="s">
        <v>1611</v>
      </c>
      <c r="P196" t="s">
        <v>1612</v>
      </c>
      <c r="Q196" s="1" t="d">
        <v>1950-11-01</v>
      </c>
      <c r="R196" t="s">
        <v>1613</v>
      </c>
      <c r="S196" t="s">
        <v>1614</v>
      </c>
    </row>
    <row r="197" spans="1:19" x14ac:dyDescent="0.2">
      <c r="A197" t="s">
        <v>1615</v>
      </c>
      <c r="B197" t="s">
        <v>1615</v>
      </c>
      <c r="C197" t="s">
        <v>1616</v>
      </c>
      <c r="D197" t="s">
        <v>22</v>
      </c>
      <c r="E197" t="b">
        <v>0</v>
      </c>
      <c r="F197" t="s">
        <v>23</v>
      </c>
      <c r="G197" t="s">
        <v>1617</v>
      </c>
      <c r="H197" t="s">
        <v>1618</v>
      </c>
      <c r="I197" t="s">
        <v>26</v>
      </c>
      <c r="J197" t="s">
        <v>27</v>
      </c>
      <c r="K197" t="s">
        <v>1619</v>
      </c>
      <c r="L197" t="s">
        <v>1615</v>
      </c>
      <c r="M197" t="s">
        <v>1620</v>
      </c>
      <c r="N197" t="s">
        <v>26</v>
      </c>
      <c r="O197" t="s">
        <v>26</v>
      </c>
      <c r="P197" t="s">
        <v>1621</v>
      </c>
      <c r="Q197" s="3" t="d">
        <v>2026-01-10</v>
      </c>
      <c r="R197" t="s">
        <v>225</v>
      </c>
      <c r="S197" t="s">
        <v>1622</v>
      </c>
    </row>
    <row r="198" spans="1:19" x14ac:dyDescent="0.2">
      <c r="A198" t="s">
        <v>1623</v>
      </c>
      <c r="B198" t="s">
        <v>1624</v>
      </c>
      <c r="C198" t="s">
        <v>1625</v>
      </c>
      <c r="D198" t="s">
        <v>22</v>
      </c>
      <c r="E198" t="b">
        <v>0</v>
      </c>
      <c r="F198" t="s">
        <v>23</v>
      </c>
      <c r="G198" t="s">
        <v>1626</v>
      </c>
      <c r="H198" t="s">
        <v>1627</v>
      </c>
      <c r="I198" t="s">
        <v>26</v>
      </c>
      <c r="J198" t="s">
        <v>27</v>
      </c>
      <c r="K198" t="s">
        <v>1628</v>
      </c>
      <c r="L198" t="s">
        <v>1629</v>
      </c>
      <c r="M198" t="s">
        <v>1630</v>
      </c>
      <c r="N198" t="s">
        <v>26</v>
      </c>
      <c r="O198" t="s">
        <v>1631</v>
      </c>
      <c r="P198" t="s">
        <v>26</v>
      </c>
      <c r="Q198" s="1" t="d">
        <v>1950-11-01</v>
      </c>
      <c r="R198" t="s">
        <v>225</v>
      </c>
      <c r="S198" t="s">
        <v>1632</v>
      </c>
    </row>
    <row r="199" spans="1:19" x14ac:dyDescent="0.2">
      <c r="A199" t="s">
        <v>1633</v>
      </c>
      <c r="B199" t="s">
        <v>1633</v>
      </c>
      <c r="C199" t="s">
        <v>1634</v>
      </c>
      <c r="D199" t="s">
        <v>22</v>
      </c>
      <c r="E199" t="b">
        <v>0</v>
      </c>
      <c r="F199" t="s">
        <v>23</v>
      </c>
      <c r="G199" t="s">
        <v>1635</v>
      </c>
      <c r="H199" t="s">
        <v>521</v>
      </c>
      <c r="I199" s="2" t="d">
        <v>2008-01-01</v>
      </c>
      <c r="J199" t="s">
        <v>27</v>
      </c>
      <c r="K199" t="s">
        <v>1636</v>
      </c>
      <c r="L199" t="s">
        <v>1633</v>
      </c>
      <c r="M199" t="s">
        <v>1637</v>
      </c>
      <c r="N199" t="s">
        <v>26</v>
      </c>
      <c r="O199" t="s">
        <v>26</v>
      </c>
      <c r="P199" t="s">
        <v>1638</v>
      </c>
      <c r="Q199" s="1" t="d">
        <v>1950-11-01</v>
      </c>
      <c r="R199" t="s">
        <v>41</v>
      </c>
      <c r="S199" t="s">
        <v>1639</v>
      </c>
    </row>
    <row r="200" spans="1:19" x14ac:dyDescent="0.2">
      <c r="A200" t="s">
        <v>1640</v>
      </c>
      <c r="B200" t="s">
        <v>1640</v>
      </c>
      <c r="C200" t="s">
        <v>1641</v>
      </c>
      <c r="D200" t="s">
        <v>22</v>
      </c>
      <c r="E200" t="b">
        <v>0</v>
      </c>
      <c r="F200" t="s">
        <v>23</v>
      </c>
      <c r="G200" t="s">
        <v>1642</v>
      </c>
      <c r="H200" t="s">
        <v>1643</v>
      </c>
      <c r="I200" t="s">
        <v>26</v>
      </c>
      <c r="J200" t="s">
        <v>27</v>
      </c>
      <c r="K200" t="s">
        <v>1644</v>
      </c>
      <c r="L200" t="s">
        <v>1645</v>
      </c>
      <c r="M200" t="s">
        <v>26</v>
      </c>
      <c r="N200" t="s">
        <v>1646</v>
      </c>
      <c r="O200" t="s">
        <v>1647</v>
      </c>
      <c r="P200" t="s">
        <v>1648</v>
      </c>
      <c r="Q200" s="1" t="d">
        <v>1950-11-01</v>
      </c>
      <c r="R200" t="s">
        <v>464</v>
      </c>
      <c r="S200" t="s">
        <v>1649</v>
      </c>
    </row>
    <row r="201" spans="1:19" x14ac:dyDescent="0.2">
      <c r="A201" t="s">
        <v>1650</v>
      </c>
      <c r="B201" t="s">
        <v>26</v>
      </c>
      <c r="C201" t="s">
        <v>1651</v>
      </c>
      <c r="D201" t="s">
        <v>26</v>
      </c>
      <c r="E201" t="s">
        <v>26</v>
      </c>
      <c r="F201" t="s">
        <v>26</v>
      </c>
      <c r="G201" t="s">
        <v>1652</v>
      </c>
      <c r="H201" t="s">
        <v>26</v>
      </c>
      <c r="I201" t="s">
        <v>26</v>
      </c>
      <c r="J201" t="s">
        <v>26</v>
      </c>
      <c r="K201" t="s">
        <v>1653</v>
      </c>
      <c r="L201" t="s">
        <v>1654</v>
      </c>
      <c r="M201" t="s">
        <v>1655</v>
      </c>
      <c r="N201" t="s">
        <v>26</v>
      </c>
      <c r="O201" t="s">
        <v>26</v>
      </c>
      <c r="P201" t="s">
        <v>26</v>
      </c>
      <c r="Q201" t="s">
        <v>26</v>
      </c>
      <c r="R201" t="s">
        <v>1263</v>
      </c>
      <c r="S201" t="s">
        <v>1656</v>
      </c>
    </row>
    <row r="202" spans="1:19" x14ac:dyDescent="0.2">
      <c r="A202" t="s">
        <v>1657</v>
      </c>
      <c r="B202" t="s">
        <v>1658</v>
      </c>
      <c r="C202" t="s">
        <v>1659</v>
      </c>
      <c r="D202" t="s">
        <v>22</v>
      </c>
      <c r="E202" t="b">
        <v>0</v>
      </c>
      <c r="F202" t="s">
        <v>23</v>
      </c>
      <c r="G202" t="s">
        <v>1660</v>
      </c>
      <c r="H202" t="s">
        <v>1661</v>
      </c>
      <c r="I202" t="s">
        <v>26</v>
      </c>
      <c r="J202" t="s">
        <v>27</v>
      </c>
      <c r="K202" t="s">
        <v>1662</v>
      </c>
      <c r="L202" t="s">
        <v>1658</v>
      </c>
      <c r="M202" t="s">
        <v>26</v>
      </c>
      <c r="N202" t="s">
        <v>26</v>
      </c>
      <c r="O202" t="s">
        <v>26</v>
      </c>
      <c r="P202" t="s">
        <v>26</v>
      </c>
      <c r="Q202" t="s">
        <v>113</v>
      </c>
      <c r="R202" t="s">
        <v>225</v>
      </c>
      <c r="S202" t="s">
        <v>1663</v>
      </c>
    </row>
    <row r="203" spans="1:19" x14ac:dyDescent="0.2">
      <c r="A203" t="s">
        <v>1664</v>
      </c>
      <c r="B203" t="s">
        <v>1664</v>
      </c>
      <c r="C203" t="s">
        <v>1665</v>
      </c>
      <c r="D203" t="s">
        <v>22</v>
      </c>
      <c r="E203" t="b">
        <v>0</v>
      </c>
      <c r="F203" t="s">
        <v>23</v>
      </c>
      <c r="G203" t="s">
        <v>1666</v>
      </c>
      <c r="H203" t="s">
        <v>1667</v>
      </c>
      <c r="I203" t="s">
        <v>26</v>
      </c>
      <c r="J203" t="s">
        <v>27</v>
      </c>
      <c r="K203" t="s">
        <v>1668</v>
      </c>
      <c r="L203" t="s">
        <v>1669</v>
      </c>
      <c r="M203" t="s">
        <v>1670</v>
      </c>
      <c r="N203" t="s">
        <v>26</v>
      </c>
      <c r="O203" t="s">
        <v>1671</v>
      </c>
      <c r="P203" t="s">
        <v>1672</v>
      </c>
      <c r="Q203" s="3" t="d">
        <v>2026-01-10</v>
      </c>
      <c r="R203" t="s">
        <v>225</v>
      </c>
      <c r="S203" t="s">
        <v>1673</v>
      </c>
    </row>
    <row r="204" spans="1:19" x14ac:dyDescent="0.2">
      <c r="A204" t="s">
        <v>1674</v>
      </c>
      <c r="B204" t="s">
        <v>1674</v>
      </c>
      <c r="C204" t="s">
        <v>1675</v>
      </c>
      <c r="D204" t="s">
        <v>22</v>
      </c>
      <c r="E204" t="b">
        <v>1</v>
      </c>
      <c r="F204" t="s">
        <v>23</v>
      </c>
      <c r="G204" t="s">
        <v>1676</v>
      </c>
      <c r="H204" t="s">
        <v>1677</v>
      </c>
      <c r="I204" t="s">
        <v>26</v>
      </c>
      <c r="J204" t="s">
        <v>27</v>
      </c>
      <c r="K204" t="s">
        <v>1678</v>
      </c>
      <c r="L204" t="s">
        <v>1674</v>
      </c>
      <c r="M204" t="s">
        <v>1679</v>
      </c>
      <c r="N204" t="s">
        <v>26</v>
      </c>
      <c r="O204" t="s">
        <v>26</v>
      </c>
      <c r="P204" t="s">
        <v>26</v>
      </c>
      <c r="Q204" s="1" t="d">
        <v>1950-11-01</v>
      </c>
      <c r="R204" t="s">
        <v>225</v>
      </c>
      <c r="S204" t="s">
        <v>1680</v>
      </c>
    </row>
    <row r="205" spans="1:19" x14ac:dyDescent="0.2">
      <c r="A205" t="s">
        <v>1681</v>
      </c>
      <c r="B205" t="s">
        <v>1682</v>
      </c>
      <c r="C205" t="s">
        <v>1683</v>
      </c>
      <c r="D205" t="s">
        <v>22</v>
      </c>
      <c r="E205" t="b">
        <v>0</v>
      </c>
      <c r="F205" t="s">
        <v>23</v>
      </c>
      <c r="G205" t="s">
        <v>1684</v>
      </c>
      <c r="H205" t="s">
        <v>67</v>
      </c>
      <c r="I205" t="s">
        <v>26</v>
      </c>
      <c r="J205" t="s">
        <v>27</v>
      </c>
      <c r="K205" t="s">
        <v>1685</v>
      </c>
      <c r="L205" t="s">
        <v>1682</v>
      </c>
      <c r="M205" t="s">
        <v>1686</v>
      </c>
      <c r="N205" t="s">
        <v>1687</v>
      </c>
      <c r="O205" t="s">
        <v>1688</v>
      </c>
      <c r="P205" t="s">
        <v>26</v>
      </c>
      <c r="Q205" s="3" t="d">
        <v>2026-01-10</v>
      </c>
      <c r="R205" t="s">
        <v>1689</v>
      </c>
      <c r="S205" t="s">
        <v>1690</v>
      </c>
    </row>
    <row r="206" spans="1:19" x14ac:dyDescent="0.2">
      <c r="A206" t="s">
        <v>1691</v>
      </c>
      <c r="B206" t="s">
        <v>26</v>
      </c>
      <c r="C206" t="s">
        <v>1692</v>
      </c>
      <c r="D206" t="s">
        <v>26</v>
      </c>
      <c r="E206" t="s">
        <v>26</v>
      </c>
      <c r="F206" t="s">
        <v>26</v>
      </c>
      <c r="G206" t="s">
        <v>1693</v>
      </c>
      <c r="H206" t="s">
        <v>26</v>
      </c>
      <c r="I206" t="s">
        <v>26</v>
      </c>
      <c r="J206" t="s">
        <v>26</v>
      </c>
      <c r="K206" t="s">
        <v>1694</v>
      </c>
      <c r="L206" t="s">
        <v>1695</v>
      </c>
      <c r="M206" t="s">
        <v>26</v>
      </c>
      <c r="N206" t="s">
        <v>26</v>
      </c>
      <c r="O206" t="s">
        <v>26</v>
      </c>
      <c r="P206" t="s">
        <v>26</v>
      </c>
      <c r="Q206" t="s">
        <v>26</v>
      </c>
      <c r="R206" t="s">
        <v>1696</v>
      </c>
      <c r="S206" t="s">
        <v>1697</v>
      </c>
    </row>
    <row r="207" spans="1:19" x14ac:dyDescent="0.2">
      <c r="A207" t="s">
        <v>1698</v>
      </c>
      <c r="B207" t="s">
        <v>1699</v>
      </c>
      <c r="C207" t="s">
        <v>1700</v>
      </c>
      <c r="D207" t="s">
        <v>22</v>
      </c>
      <c r="E207" t="b">
        <v>0</v>
      </c>
      <c r="F207" t="s">
        <v>23</v>
      </c>
      <c r="G207" t="s">
        <v>1701</v>
      </c>
      <c r="H207" t="s">
        <v>1702</v>
      </c>
      <c r="I207" s="2" t="d">
        <v>2017-03-01</v>
      </c>
      <c r="J207" t="s">
        <v>27</v>
      </c>
      <c r="K207" t="s">
        <v>1703</v>
      </c>
      <c r="L207" t="s">
        <v>1699</v>
      </c>
      <c r="M207" t="s">
        <v>1704</v>
      </c>
      <c r="N207" t="s">
        <v>1705</v>
      </c>
      <c r="O207" t="s">
        <v>1706</v>
      </c>
      <c r="P207">
        <v>9797639797</v>
      </c>
      <c r="Q207" t="s">
        <v>54</v>
      </c>
      <c r="R207" t="s">
        <v>41</v>
      </c>
      <c r="S207" t="s">
        <v>1707</v>
      </c>
    </row>
    <row r="208" spans="1:19" x14ac:dyDescent="0.2">
      <c r="A208" t="s">
        <v>1708</v>
      </c>
      <c r="B208" t="s">
        <v>1708</v>
      </c>
      <c r="C208" t="s">
        <v>1709</v>
      </c>
      <c r="D208" t="s">
        <v>22</v>
      </c>
      <c r="E208" t="b">
        <v>0</v>
      </c>
      <c r="F208" t="s">
        <v>23</v>
      </c>
      <c r="G208" t="s">
        <v>1710</v>
      </c>
      <c r="H208" t="s">
        <v>1711</v>
      </c>
      <c r="I208" t="s">
        <v>26</v>
      </c>
      <c r="J208" t="s">
        <v>27</v>
      </c>
      <c r="K208" t="s">
        <v>1712</v>
      </c>
      <c r="L208" t="s">
        <v>1713</v>
      </c>
      <c r="M208" t="s">
        <v>26</v>
      </c>
      <c r="N208" t="s">
        <v>1714</v>
      </c>
      <c r="O208" t="s">
        <v>26</v>
      </c>
      <c r="P208" t="s">
        <v>26</v>
      </c>
      <c r="Q208" s="1" t="d">
        <v>1950-11-01</v>
      </c>
      <c r="R208" t="s">
        <v>225</v>
      </c>
      <c r="S208" t="s">
        <v>1715</v>
      </c>
    </row>
    <row r="209" spans="1:19" x14ac:dyDescent="0.2">
      <c r="A209" t="s">
        <v>1716</v>
      </c>
      <c r="B209" t="s">
        <v>1717</v>
      </c>
      <c r="C209" t="s">
        <v>1718</v>
      </c>
      <c r="D209" t="s">
        <v>22</v>
      </c>
      <c r="E209" t="b">
        <v>0</v>
      </c>
      <c r="F209" t="s">
        <v>23</v>
      </c>
      <c r="G209" t="s">
        <v>1719</v>
      </c>
      <c r="H209" t="s">
        <v>1720</v>
      </c>
      <c r="I209" t="s">
        <v>26</v>
      </c>
      <c r="J209" t="s">
        <v>878</v>
      </c>
      <c r="K209" t="s">
        <v>1721</v>
      </c>
      <c r="L209" t="s">
        <v>1722</v>
      </c>
      <c r="M209" t="s">
        <v>1723</v>
      </c>
      <c r="N209" t="s">
        <v>1724</v>
      </c>
      <c r="O209" t="s">
        <v>1725</v>
      </c>
      <c r="P209" t="s">
        <v>1726</v>
      </c>
      <c r="Q209" s="3" t="d">
        <v>2026-01-10</v>
      </c>
      <c r="R209" t="s">
        <v>41</v>
      </c>
      <c r="S209" t="s">
        <v>1727</v>
      </c>
    </row>
    <row r="210" spans="1:19" x14ac:dyDescent="0.2">
      <c r="A210" t="s">
        <v>1728</v>
      </c>
      <c r="B210" t="s">
        <v>26</v>
      </c>
      <c r="C210" t="s">
        <v>1729</v>
      </c>
      <c r="D210" t="s">
        <v>26</v>
      </c>
      <c r="E210" t="s">
        <v>26</v>
      </c>
      <c r="F210" t="s">
        <v>26</v>
      </c>
      <c r="G210" t="s">
        <v>1730</v>
      </c>
      <c r="H210" t="s">
        <v>26</v>
      </c>
      <c r="I210" t="s">
        <v>26</v>
      </c>
      <c r="J210" t="s">
        <v>26</v>
      </c>
      <c r="K210" t="s">
        <v>1731</v>
      </c>
      <c r="L210" t="s">
        <v>26</v>
      </c>
      <c r="M210" t="s">
        <v>26</v>
      </c>
      <c r="N210" t="s">
        <v>26</v>
      </c>
      <c r="O210" t="s">
        <v>26</v>
      </c>
      <c r="P210" t="s">
        <v>26</v>
      </c>
      <c r="Q210" t="s">
        <v>26</v>
      </c>
      <c r="R210" t="s">
        <v>1732</v>
      </c>
      <c r="S210" t="s">
        <v>1733</v>
      </c>
    </row>
    <row r="211" spans="1:19" x14ac:dyDescent="0.2">
      <c r="A211" t="s">
        <v>1734</v>
      </c>
      <c r="B211" t="s">
        <v>26</v>
      </c>
      <c r="C211" t="s">
        <v>1735</v>
      </c>
      <c r="D211" t="s">
        <v>26</v>
      </c>
      <c r="E211" t="s">
        <v>26</v>
      </c>
      <c r="F211" t="s">
        <v>26</v>
      </c>
      <c r="G211" t="s">
        <v>1736</v>
      </c>
      <c r="H211" t="s">
        <v>26</v>
      </c>
      <c r="I211" t="s">
        <v>26</v>
      </c>
      <c r="J211" t="s">
        <v>26</v>
      </c>
      <c r="K211" t="s">
        <v>1737</v>
      </c>
      <c r="L211" t="s">
        <v>26</v>
      </c>
      <c r="M211" t="s">
        <v>26</v>
      </c>
      <c r="N211" t="s">
        <v>26</v>
      </c>
      <c r="O211" t="s">
        <v>26</v>
      </c>
      <c r="P211" t="s">
        <v>26</v>
      </c>
      <c r="Q211" t="s">
        <v>26</v>
      </c>
      <c r="R211" t="s">
        <v>1732</v>
      </c>
      <c r="S211" t="s">
        <v>1738</v>
      </c>
    </row>
    <row r="212" spans="1:19" x14ac:dyDescent="0.2">
      <c r="A212">
        <v>2026</v>
      </c>
      <c r="B212" t="s">
        <v>26</v>
      </c>
      <c r="C212">
        <v>2026</v>
      </c>
      <c r="D212" t="s">
        <v>26</v>
      </c>
      <c r="E212" t="s">
        <v>26</v>
      </c>
      <c r="F212" t="s">
        <v>26</v>
      </c>
      <c r="G212" t="s">
        <v>1739</v>
      </c>
      <c r="H212" t="s">
        <v>26</v>
      </c>
      <c r="I212" t="s">
        <v>26</v>
      </c>
      <c r="J212" t="s">
        <v>26</v>
      </c>
      <c r="K212" t="s">
        <v>1740</v>
      </c>
      <c r="L212" t="s">
        <v>26</v>
      </c>
      <c r="M212" t="s">
        <v>26</v>
      </c>
      <c r="N212" t="s">
        <v>26</v>
      </c>
      <c r="O212" t="s">
        <v>26</v>
      </c>
      <c r="P212" t="s">
        <v>26</v>
      </c>
      <c r="Q212" t="s">
        <v>26</v>
      </c>
      <c r="R212" t="s">
        <v>1732</v>
      </c>
      <c r="S212" t="s">
        <v>1741</v>
      </c>
    </row>
    <row r="213" spans="1:19" x14ac:dyDescent="0.2">
      <c r="A213" t="s">
        <v>1742</v>
      </c>
      <c r="B213" t="s">
        <v>26</v>
      </c>
      <c r="C213" t="s">
        <v>1743</v>
      </c>
      <c r="D213" t="s">
        <v>26</v>
      </c>
      <c r="E213" t="s">
        <v>26</v>
      </c>
      <c r="F213" t="s">
        <v>26</v>
      </c>
      <c r="G213" t="s">
        <v>1744</v>
      </c>
      <c r="H213" t="s">
        <v>26</v>
      </c>
      <c r="I213" t="s">
        <v>26</v>
      </c>
      <c r="J213" t="s">
        <v>26</v>
      </c>
      <c r="K213" t="s">
        <v>1745</v>
      </c>
      <c r="L213" t="s">
        <v>26</v>
      </c>
      <c r="M213" t="s">
        <v>26</v>
      </c>
      <c r="N213" t="s">
        <v>26</v>
      </c>
      <c r="O213" t="s">
        <v>26</v>
      </c>
      <c r="P213" t="s">
        <v>26</v>
      </c>
      <c r="Q213" t="s">
        <v>26</v>
      </c>
      <c r="R213" t="s">
        <v>1746</v>
      </c>
      <c r="S213" t="s">
        <v>1747</v>
      </c>
    </row>
    <row r="214" spans="1:19" x14ac:dyDescent="0.2">
      <c r="A214" t="s">
        <v>1748</v>
      </c>
      <c r="B214" t="s">
        <v>26</v>
      </c>
      <c r="C214" t="s">
        <v>1749</v>
      </c>
      <c r="D214" t="s">
        <v>26</v>
      </c>
      <c r="E214" t="s">
        <v>26</v>
      </c>
      <c r="F214" t="s">
        <v>26</v>
      </c>
      <c r="G214" t="s">
        <v>1750</v>
      </c>
      <c r="H214" t="s">
        <v>26</v>
      </c>
      <c r="I214" t="s">
        <v>26</v>
      </c>
      <c r="J214" t="s">
        <v>26</v>
      </c>
      <c r="K214" t="s">
        <v>1751</v>
      </c>
      <c r="L214" t="s">
        <v>26</v>
      </c>
      <c r="M214" t="s">
        <v>26</v>
      </c>
      <c r="N214" t="s">
        <v>26</v>
      </c>
      <c r="O214" t="s">
        <v>26</v>
      </c>
      <c r="P214" t="s">
        <v>26</v>
      </c>
      <c r="Q214" t="s">
        <v>26</v>
      </c>
      <c r="R214" t="s">
        <v>1732</v>
      </c>
      <c r="S214" t="s">
        <v>1752</v>
      </c>
    </row>
    <row r="215" spans="1:19" x14ac:dyDescent="0.2">
      <c r="A215" t="s">
        <v>1753</v>
      </c>
      <c r="B215" t="s">
        <v>1754</v>
      </c>
      <c r="C215" t="s">
        <v>1755</v>
      </c>
      <c r="D215" t="s">
        <v>22</v>
      </c>
      <c r="E215" t="b">
        <v>0</v>
      </c>
      <c r="F215" t="s">
        <v>23</v>
      </c>
      <c r="G215" t="s">
        <v>1756</v>
      </c>
      <c r="H215" t="s">
        <v>106</v>
      </c>
      <c r="I215" t="s">
        <v>26</v>
      </c>
      <c r="J215" t="s">
        <v>27</v>
      </c>
      <c r="K215" t="s">
        <v>1757</v>
      </c>
      <c r="L215" t="s">
        <v>26</v>
      </c>
      <c r="M215" t="s">
        <v>26</v>
      </c>
      <c r="N215" t="s">
        <v>26</v>
      </c>
      <c r="O215" t="s">
        <v>26</v>
      </c>
      <c r="P215" t="s">
        <v>26</v>
      </c>
      <c r="Q215" t="s">
        <v>26</v>
      </c>
      <c r="R215" t="s">
        <v>1732</v>
      </c>
      <c r="S215" t="s">
        <v>1758</v>
      </c>
    </row>
    <row r="216" spans="1:19" x14ac:dyDescent="0.2">
      <c r="A216" t="s">
        <v>1759</v>
      </c>
      <c r="B216" t="s">
        <v>1760</v>
      </c>
      <c r="C216" t="s">
        <v>1761</v>
      </c>
      <c r="D216" t="s">
        <v>22</v>
      </c>
      <c r="E216" t="b">
        <v>0</v>
      </c>
      <c r="F216" t="s">
        <v>23</v>
      </c>
      <c r="G216" t="s">
        <v>1762</v>
      </c>
      <c r="H216" t="s">
        <v>634</v>
      </c>
      <c r="I216" t="s">
        <v>26</v>
      </c>
      <c r="J216" t="s">
        <v>27</v>
      </c>
      <c r="K216" t="s">
        <v>1763</v>
      </c>
      <c r="L216" t="s">
        <v>1764</v>
      </c>
      <c r="M216" t="s">
        <v>1765</v>
      </c>
      <c r="N216" t="s">
        <v>1766</v>
      </c>
      <c r="O216" t="s">
        <v>1767</v>
      </c>
      <c r="P216" t="s">
        <v>26</v>
      </c>
      <c r="Q216" s="1" t="d">
        <v>1950-11-01</v>
      </c>
      <c r="R216" t="s">
        <v>1263</v>
      </c>
      <c r="S216" t="s">
        <v>1768</v>
      </c>
    </row>
    <row r="217" spans="1:19" x14ac:dyDescent="0.2">
      <c r="A217" t="s">
        <v>1769</v>
      </c>
      <c r="B217" t="s">
        <v>1769</v>
      </c>
      <c r="C217" t="s">
        <v>1770</v>
      </c>
      <c r="D217" t="s">
        <v>22</v>
      </c>
      <c r="E217" t="b">
        <v>0</v>
      </c>
      <c r="F217" t="s">
        <v>23</v>
      </c>
      <c r="G217" t="s">
        <v>1771</v>
      </c>
      <c r="H217" t="s">
        <v>1772</v>
      </c>
      <c r="I217" s="2" t="d">
        <v>2021-06-14</v>
      </c>
      <c r="J217" t="s">
        <v>27</v>
      </c>
      <c r="K217" t="s">
        <v>1773</v>
      </c>
      <c r="L217" t="s">
        <v>1774</v>
      </c>
      <c r="M217" t="s">
        <v>1775</v>
      </c>
      <c r="N217" t="s">
        <v>1776</v>
      </c>
      <c r="O217" t="s">
        <v>1777</v>
      </c>
      <c r="P217" t="s">
        <v>26</v>
      </c>
      <c r="Q217" s="1" t="d">
        <v>1950-11-01</v>
      </c>
      <c r="R217" t="s">
        <v>41</v>
      </c>
      <c r="S217" t="s">
        <v>1778</v>
      </c>
    </row>
    <row r="218" spans="1:19" x14ac:dyDescent="0.2">
      <c r="A218" t="s">
        <v>1779</v>
      </c>
      <c r="B218" t="s">
        <v>1780</v>
      </c>
      <c r="C218" t="s">
        <v>1781</v>
      </c>
      <c r="D218" t="s">
        <v>22</v>
      </c>
      <c r="E218" t="b">
        <v>0</v>
      </c>
      <c r="F218" t="s">
        <v>23</v>
      </c>
      <c r="G218" t="s">
        <v>1782</v>
      </c>
      <c r="H218" t="s">
        <v>188</v>
      </c>
      <c r="I218" s="2" t="d">
        <v>2017-01-01</v>
      </c>
      <c r="J218" t="s">
        <v>27</v>
      </c>
      <c r="K218" t="s">
        <v>1783</v>
      </c>
      <c r="L218" t="s">
        <v>1784</v>
      </c>
      <c r="M218" t="s">
        <v>1785</v>
      </c>
      <c r="N218" t="s">
        <v>1786</v>
      </c>
      <c r="O218" t="s">
        <v>1787</v>
      </c>
      <c r="P218" t="s">
        <v>1788</v>
      </c>
      <c r="Q218" t="s">
        <v>621</v>
      </c>
      <c r="R218" t="s">
        <v>41</v>
      </c>
      <c r="S218" t="s">
        <v>1789</v>
      </c>
    </row>
    <row r="219" spans="1:19" x14ac:dyDescent="0.2">
      <c r="A219" t="s">
        <v>1790</v>
      </c>
      <c r="B219" t="s">
        <v>1790</v>
      </c>
      <c r="C219" t="s">
        <v>1791</v>
      </c>
      <c r="D219" t="s">
        <v>22</v>
      </c>
      <c r="E219" t="b">
        <v>0</v>
      </c>
      <c r="F219" t="s">
        <v>23</v>
      </c>
      <c r="G219" t="s">
        <v>1792</v>
      </c>
      <c r="H219" t="s">
        <v>1793</v>
      </c>
      <c r="I219" t="s">
        <v>26</v>
      </c>
      <c r="J219" t="s">
        <v>27</v>
      </c>
      <c r="K219" t="s">
        <v>1794</v>
      </c>
      <c r="L219" t="s">
        <v>1795</v>
      </c>
      <c r="M219" t="s">
        <v>1796</v>
      </c>
      <c r="N219" t="s">
        <v>26</v>
      </c>
      <c r="O219" t="s">
        <v>26</v>
      </c>
      <c r="P219">
        <v>914424350075</v>
      </c>
      <c r="Q219" s="1" t="d">
        <v>1950-11-01</v>
      </c>
      <c r="R219" t="s">
        <v>1797</v>
      </c>
      <c r="S219" t="s">
        <v>1798</v>
      </c>
    </row>
    <row r="220" spans="1:19" x14ac:dyDescent="0.2">
      <c r="A220" t="s">
        <v>1799</v>
      </c>
      <c r="B220" t="s">
        <v>26</v>
      </c>
      <c r="C220" t="s">
        <v>1800</v>
      </c>
      <c r="D220" t="s">
        <v>26</v>
      </c>
      <c r="E220" t="s">
        <v>26</v>
      </c>
      <c r="F220" t="s">
        <v>26</v>
      </c>
      <c r="G220" t="s">
        <v>1801</v>
      </c>
      <c r="H220" t="s">
        <v>26</v>
      </c>
      <c r="I220" t="s">
        <v>26</v>
      </c>
      <c r="J220" t="s">
        <v>26</v>
      </c>
      <c r="K220" t="s">
        <v>1802</v>
      </c>
      <c r="L220" t="s">
        <v>1803</v>
      </c>
      <c r="M220" t="s">
        <v>1804</v>
      </c>
      <c r="N220" t="s">
        <v>26</v>
      </c>
      <c r="O220" t="s">
        <v>26</v>
      </c>
      <c r="P220" t="s">
        <v>26</v>
      </c>
      <c r="Q220" t="s">
        <v>26</v>
      </c>
      <c r="R220" t="s">
        <v>1805</v>
      </c>
      <c r="S220" t="s">
        <v>1806</v>
      </c>
    </row>
    <row r="221" spans="1:19" x14ac:dyDescent="0.2">
      <c r="A221" t="s">
        <v>1807</v>
      </c>
      <c r="B221" t="s">
        <v>1807</v>
      </c>
      <c r="C221" t="s">
        <v>1808</v>
      </c>
      <c r="D221" t="s">
        <v>22</v>
      </c>
      <c r="E221" t="b">
        <v>0</v>
      </c>
      <c r="F221" t="s">
        <v>23</v>
      </c>
      <c r="G221" t="s">
        <v>1809</v>
      </c>
      <c r="H221" t="s">
        <v>325</v>
      </c>
      <c r="I221" t="s">
        <v>26</v>
      </c>
      <c r="J221" t="s">
        <v>27</v>
      </c>
      <c r="K221" t="s">
        <v>1810</v>
      </c>
      <c r="L221" t="s">
        <v>1807</v>
      </c>
      <c r="M221" t="s">
        <v>1811</v>
      </c>
      <c r="N221" t="s">
        <v>1812</v>
      </c>
      <c r="O221" t="s">
        <v>1813</v>
      </c>
      <c r="P221" t="s">
        <v>26</v>
      </c>
      <c r="Q221" s="3" t="d">
        <v>2026-01-10</v>
      </c>
      <c r="R221" t="s">
        <v>1732</v>
      </c>
      <c r="S221" t="s">
        <v>1814</v>
      </c>
    </row>
    <row r="222" spans="1:19" x14ac:dyDescent="0.2">
      <c r="A222" t="s">
        <v>1815</v>
      </c>
      <c r="B222" t="s">
        <v>1816</v>
      </c>
      <c r="C222" t="s">
        <v>1817</v>
      </c>
      <c r="D222" t="s">
        <v>22</v>
      </c>
      <c r="E222" t="b">
        <v>0</v>
      </c>
      <c r="F222" t="s">
        <v>23</v>
      </c>
      <c r="G222" t="s">
        <v>1818</v>
      </c>
      <c r="H222" t="s">
        <v>67</v>
      </c>
      <c r="I222" s="2" t="d">
        <v>2021-01-01</v>
      </c>
      <c r="J222" t="s">
        <v>27</v>
      </c>
      <c r="K222" t="s">
        <v>1819</v>
      </c>
      <c r="L222" t="s">
        <v>1820</v>
      </c>
      <c r="M222" t="s">
        <v>1821</v>
      </c>
      <c r="N222" t="s">
        <v>26</v>
      </c>
      <c r="O222" t="s">
        <v>1822</v>
      </c>
      <c r="P222" t="s">
        <v>26</v>
      </c>
      <c r="Q222" t="s">
        <v>218</v>
      </c>
      <c r="R222" t="s">
        <v>41</v>
      </c>
      <c r="S222" t="s">
        <v>1823</v>
      </c>
    </row>
    <row r="223" spans="1:19" x14ac:dyDescent="0.2">
      <c r="A223" t="s">
        <v>1824</v>
      </c>
      <c r="B223" t="s">
        <v>1825</v>
      </c>
      <c r="C223" t="s">
        <v>1826</v>
      </c>
      <c r="D223" t="s">
        <v>22</v>
      </c>
      <c r="E223" t="b">
        <v>0</v>
      </c>
      <c r="F223" t="s">
        <v>23</v>
      </c>
      <c r="G223" t="s">
        <v>1827</v>
      </c>
      <c r="H223" t="s">
        <v>1828</v>
      </c>
      <c r="I223" t="s">
        <v>26</v>
      </c>
      <c r="J223" t="s">
        <v>27</v>
      </c>
      <c r="K223" t="s">
        <v>1829</v>
      </c>
      <c r="L223" t="s">
        <v>1830</v>
      </c>
      <c r="M223" t="s">
        <v>1831</v>
      </c>
      <c r="N223" t="s">
        <v>26</v>
      </c>
      <c r="O223" t="s">
        <v>26</v>
      </c>
      <c r="P223" t="s">
        <v>26</v>
      </c>
      <c r="Q223" t="s">
        <v>54</v>
      </c>
      <c r="R223" t="s">
        <v>41</v>
      </c>
      <c r="S223" t="s">
        <v>1832</v>
      </c>
    </row>
    <row r="224" spans="1:19" x14ac:dyDescent="0.2">
      <c r="A224" t="s">
        <v>1833</v>
      </c>
      <c r="B224" t="s">
        <v>1833</v>
      </c>
      <c r="C224" t="s">
        <v>1834</v>
      </c>
      <c r="D224" t="s">
        <v>22</v>
      </c>
      <c r="E224" t="b">
        <v>0</v>
      </c>
      <c r="F224" t="s">
        <v>23</v>
      </c>
      <c r="G224" t="s">
        <v>1835</v>
      </c>
      <c r="H224" t="s">
        <v>1836</v>
      </c>
      <c r="I224" t="s">
        <v>26</v>
      </c>
      <c r="J224" t="s">
        <v>27</v>
      </c>
      <c r="K224" t="s">
        <v>1837</v>
      </c>
      <c r="L224" t="s">
        <v>1833</v>
      </c>
      <c r="M224" t="s">
        <v>1838</v>
      </c>
      <c r="N224" t="s">
        <v>1839</v>
      </c>
      <c r="O224" t="s">
        <v>1840</v>
      </c>
      <c r="P224" t="s">
        <v>26</v>
      </c>
      <c r="Q224" s="1" t="d">
        <v>1950-11-01</v>
      </c>
      <c r="R224" t="s">
        <v>1841</v>
      </c>
      <c r="S224" t="s">
        <v>1842</v>
      </c>
    </row>
    <row r="225" spans="1:19" x14ac:dyDescent="0.2">
      <c r="A225" t="s">
        <v>1843</v>
      </c>
      <c r="B225" t="s">
        <v>1844</v>
      </c>
      <c r="C225" t="s">
        <v>1845</v>
      </c>
      <c r="D225" t="s">
        <v>22</v>
      </c>
      <c r="E225" t="b">
        <v>0</v>
      </c>
      <c r="F225" t="s">
        <v>23</v>
      </c>
      <c r="G225" t="s">
        <v>1846</v>
      </c>
      <c r="H225" t="s">
        <v>1847</v>
      </c>
      <c r="I225" s="2" t="d">
        <v>2020-02-07</v>
      </c>
      <c r="J225" t="s">
        <v>27</v>
      </c>
      <c r="K225" t="s">
        <v>1848</v>
      </c>
      <c r="L225" t="s">
        <v>1849</v>
      </c>
      <c r="M225" t="s">
        <v>1850</v>
      </c>
      <c r="N225" t="s">
        <v>1851</v>
      </c>
      <c r="O225" t="s">
        <v>26</v>
      </c>
      <c r="P225" t="s">
        <v>26</v>
      </c>
      <c r="Q225" s="1" t="d">
        <v>1950-11-01</v>
      </c>
      <c r="R225" t="s">
        <v>41</v>
      </c>
      <c r="S225" t="s">
        <v>1852</v>
      </c>
    </row>
    <row r="226" spans="1:19" x14ac:dyDescent="0.2">
      <c r="A226" t="s">
        <v>1853</v>
      </c>
      <c r="B226" t="s">
        <v>1853</v>
      </c>
      <c r="C226" t="s">
        <v>1854</v>
      </c>
      <c r="D226" t="s">
        <v>22</v>
      </c>
      <c r="E226" t="b">
        <v>0</v>
      </c>
      <c r="F226" t="s">
        <v>23</v>
      </c>
      <c r="G226" t="s">
        <v>1855</v>
      </c>
      <c r="H226" t="s">
        <v>634</v>
      </c>
      <c r="I226" t="s">
        <v>26</v>
      </c>
      <c r="J226" t="s">
        <v>27</v>
      </c>
      <c r="K226" t="s">
        <v>1856</v>
      </c>
      <c r="L226" t="s">
        <v>1857</v>
      </c>
      <c r="M226" t="s">
        <v>1858</v>
      </c>
      <c r="N226" t="s">
        <v>26</v>
      </c>
      <c r="O226" t="s">
        <v>1859</v>
      </c>
      <c r="P226" t="s">
        <v>1860</v>
      </c>
      <c r="Q226" t="s">
        <v>218</v>
      </c>
      <c r="R226" t="s">
        <v>1861</v>
      </c>
      <c r="S226" t="s">
        <v>1862</v>
      </c>
    </row>
    <row r="227" spans="1:19" x14ac:dyDescent="0.2">
      <c r="A227" t="s">
        <v>1863</v>
      </c>
      <c r="B227" t="s">
        <v>1863</v>
      </c>
      <c r="C227" t="s">
        <v>1864</v>
      </c>
      <c r="D227" t="s">
        <v>22</v>
      </c>
      <c r="E227" t="b">
        <v>0</v>
      </c>
      <c r="F227" t="s">
        <v>23</v>
      </c>
      <c r="G227" t="s">
        <v>1865</v>
      </c>
      <c r="H227" t="s">
        <v>1866</v>
      </c>
      <c r="I227" s="2" t="d">
        <v>2015-10-01</v>
      </c>
      <c r="J227" t="s">
        <v>27</v>
      </c>
      <c r="K227" t="s">
        <v>1867</v>
      </c>
      <c r="L227" t="s">
        <v>1863</v>
      </c>
      <c r="M227" t="s">
        <v>1868</v>
      </c>
      <c r="N227" t="s">
        <v>1869</v>
      </c>
      <c r="O227" t="s">
        <v>1870</v>
      </c>
      <c r="P227" t="s">
        <v>1871</v>
      </c>
      <c r="Q227" t="s">
        <v>621</v>
      </c>
      <c r="R227" t="s">
        <v>41</v>
      </c>
      <c r="S227" t="s">
        <v>1872</v>
      </c>
    </row>
    <row r="228" spans="1:19" x14ac:dyDescent="0.2">
      <c r="A228" t="s">
        <v>1873</v>
      </c>
      <c r="B228" t="s">
        <v>1873</v>
      </c>
      <c r="C228" t="s">
        <v>1874</v>
      </c>
      <c r="D228" t="s">
        <v>22</v>
      </c>
      <c r="E228" t="b">
        <v>0</v>
      </c>
      <c r="F228" t="s">
        <v>23</v>
      </c>
      <c r="G228" t="s">
        <v>1875</v>
      </c>
      <c r="H228" t="s">
        <v>1067</v>
      </c>
      <c r="I228" s="2" t="d">
        <v>2020-01-01</v>
      </c>
      <c r="J228" t="s">
        <v>27</v>
      </c>
      <c r="K228" t="s">
        <v>1876</v>
      </c>
      <c r="L228" t="s">
        <v>1873</v>
      </c>
      <c r="M228" t="s">
        <v>1877</v>
      </c>
      <c r="N228" t="s">
        <v>1878</v>
      </c>
      <c r="O228" t="s">
        <v>1879</v>
      </c>
      <c r="P228" t="s">
        <v>1880</v>
      </c>
      <c r="Q228" s="3" t="d">
        <v>2026-01-10</v>
      </c>
      <c r="R228" t="s">
        <v>41</v>
      </c>
      <c r="S228" t="s">
        <v>1881</v>
      </c>
    </row>
    <row r="229" spans="1:19" x14ac:dyDescent="0.2">
      <c r="A229" t="s">
        <v>1882</v>
      </c>
      <c r="B229" t="s">
        <v>1883</v>
      </c>
      <c r="C229" t="s">
        <v>1884</v>
      </c>
      <c r="D229" t="s">
        <v>22</v>
      </c>
      <c r="E229" t="b">
        <v>0</v>
      </c>
      <c r="F229" t="s">
        <v>23</v>
      </c>
      <c r="G229" t="s">
        <v>1885</v>
      </c>
      <c r="H229" t="s">
        <v>1886</v>
      </c>
      <c r="I229" t="s">
        <v>26</v>
      </c>
      <c r="J229" t="s">
        <v>27</v>
      </c>
      <c r="K229" t="s">
        <v>1887</v>
      </c>
      <c r="L229" t="s">
        <v>1888</v>
      </c>
      <c r="M229" t="s">
        <v>1889</v>
      </c>
      <c r="N229" t="s">
        <v>1890</v>
      </c>
      <c r="O229" t="s">
        <v>1891</v>
      </c>
      <c r="P229" t="s">
        <v>26</v>
      </c>
      <c r="Q229" t="s">
        <v>54</v>
      </c>
      <c r="R229" t="s">
        <v>725</v>
      </c>
      <c r="S229" t="s">
        <v>1892</v>
      </c>
    </row>
    <row r="230" spans="1:19" x14ac:dyDescent="0.2">
      <c r="A230" t="s">
        <v>1893</v>
      </c>
      <c r="B230" t="s">
        <v>1894</v>
      </c>
      <c r="C230" t="s">
        <v>1895</v>
      </c>
      <c r="D230" t="s">
        <v>22</v>
      </c>
      <c r="E230" t="b">
        <v>0</v>
      </c>
      <c r="F230" t="s">
        <v>23</v>
      </c>
      <c r="G230" t="s">
        <v>1896</v>
      </c>
      <c r="H230" t="s">
        <v>1627</v>
      </c>
      <c r="I230" t="s">
        <v>26</v>
      </c>
      <c r="J230" t="s">
        <v>27</v>
      </c>
      <c r="K230" t="s">
        <v>1897</v>
      </c>
      <c r="L230" t="s">
        <v>1898</v>
      </c>
      <c r="M230" t="s">
        <v>1899</v>
      </c>
      <c r="N230" t="s">
        <v>26</v>
      </c>
      <c r="O230" t="s">
        <v>1900</v>
      </c>
      <c r="P230" t="s">
        <v>1901</v>
      </c>
      <c r="Q230" s="1" t="d">
        <v>1950-11-01</v>
      </c>
      <c r="R230" t="s">
        <v>1902</v>
      </c>
      <c r="S230" t="s">
        <v>1903</v>
      </c>
    </row>
    <row r="231" spans="1:19" x14ac:dyDescent="0.2">
      <c r="A231" t="s">
        <v>1904</v>
      </c>
      <c r="B231" t="s">
        <v>26</v>
      </c>
      <c r="C231" t="s">
        <v>1905</v>
      </c>
      <c r="D231" t="s">
        <v>26</v>
      </c>
      <c r="E231" t="s">
        <v>26</v>
      </c>
      <c r="F231" t="s">
        <v>26</v>
      </c>
      <c r="G231" t="s">
        <v>1906</v>
      </c>
      <c r="H231" t="s">
        <v>26</v>
      </c>
      <c r="I231" t="s">
        <v>26</v>
      </c>
      <c r="J231" t="s">
        <v>26</v>
      </c>
      <c r="K231" t="s">
        <v>1907</v>
      </c>
      <c r="L231" t="s">
        <v>1904</v>
      </c>
      <c r="M231" t="s">
        <v>1908</v>
      </c>
      <c r="N231" t="s">
        <v>26</v>
      </c>
      <c r="O231" t="s">
        <v>26</v>
      </c>
      <c r="P231" t="s">
        <v>26</v>
      </c>
      <c r="Q231" t="s">
        <v>26</v>
      </c>
      <c r="R231" t="s">
        <v>1909</v>
      </c>
      <c r="S231" t="s">
        <v>1910</v>
      </c>
    </row>
    <row r="232" spans="1:19" x14ac:dyDescent="0.2">
      <c r="A232" t="s">
        <v>1911</v>
      </c>
      <c r="B232" t="s">
        <v>1912</v>
      </c>
      <c r="C232" t="s">
        <v>1913</v>
      </c>
      <c r="D232" t="s">
        <v>22</v>
      </c>
      <c r="E232" t="b">
        <v>0</v>
      </c>
      <c r="F232" t="s">
        <v>23</v>
      </c>
      <c r="G232" t="s">
        <v>1914</v>
      </c>
      <c r="H232" t="s">
        <v>188</v>
      </c>
      <c r="I232" t="s">
        <v>26</v>
      </c>
      <c r="J232" t="s">
        <v>27</v>
      </c>
      <c r="K232" t="s">
        <v>1915</v>
      </c>
      <c r="L232" t="s">
        <v>1916</v>
      </c>
      <c r="M232" t="s">
        <v>1917</v>
      </c>
      <c r="N232" t="s">
        <v>26</v>
      </c>
      <c r="O232" t="s">
        <v>1918</v>
      </c>
      <c r="P232" t="s">
        <v>26</v>
      </c>
      <c r="Q232" s="3" t="d">
        <v>2026-01-10</v>
      </c>
      <c r="R232" t="s">
        <v>1002</v>
      </c>
      <c r="S232" t="s">
        <v>1919</v>
      </c>
    </row>
    <row r="233" spans="1:19" x14ac:dyDescent="0.2">
      <c r="A233" t="s">
        <v>1920</v>
      </c>
      <c r="B233" t="s">
        <v>1920</v>
      </c>
      <c r="C233" t="s">
        <v>1921</v>
      </c>
      <c r="D233" t="s">
        <v>22</v>
      </c>
      <c r="E233" t="b">
        <v>0</v>
      </c>
      <c r="F233" t="s">
        <v>23</v>
      </c>
      <c r="G233" t="s">
        <v>1922</v>
      </c>
      <c r="H233" t="s">
        <v>1923</v>
      </c>
      <c r="I233" t="s">
        <v>26</v>
      </c>
      <c r="J233" t="s">
        <v>27</v>
      </c>
      <c r="K233" t="s">
        <v>1924</v>
      </c>
      <c r="L233" t="s">
        <v>1925</v>
      </c>
      <c r="M233" t="s">
        <v>26</v>
      </c>
      <c r="N233" t="s">
        <v>1926</v>
      </c>
      <c r="O233" t="s">
        <v>1927</v>
      </c>
      <c r="P233" t="s">
        <v>26</v>
      </c>
      <c r="Q233" s="1" t="d">
        <v>1950-11-01</v>
      </c>
      <c r="R233" t="s">
        <v>580</v>
      </c>
      <c r="S233" t="s">
        <v>1928</v>
      </c>
    </row>
    <row r="234" spans="1:19" x14ac:dyDescent="0.2">
      <c r="A234" t="s">
        <v>1929</v>
      </c>
      <c r="B234" t="s">
        <v>1930</v>
      </c>
      <c r="C234" t="s">
        <v>1931</v>
      </c>
      <c r="D234" t="s">
        <v>22</v>
      </c>
      <c r="E234" t="b">
        <v>0</v>
      </c>
      <c r="F234" t="s">
        <v>23</v>
      </c>
      <c r="G234" t="s">
        <v>1932</v>
      </c>
      <c r="H234" t="s">
        <v>188</v>
      </c>
      <c r="I234" s="2" t="d">
        <v>2023-01-01</v>
      </c>
      <c r="J234" t="s">
        <v>27</v>
      </c>
      <c r="K234" t="s">
        <v>1933</v>
      </c>
      <c r="L234" t="s">
        <v>1934</v>
      </c>
      <c r="M234" t="s">
        <v>1935</v>
      </c>
      <c r="N234" t="s">
        <v>1936</v>
      </c>
      <c r="O234" t="s">
        <v>1937</v>
      </c>
      <c r="P234" t="s">
        <v>26</v>
      </c>
      <c r="Q234" s="1" t="d">
        <v>1950-11-01</v>
      </c>
      <c r="R234" t="s">
        <v>725</v>
      </c>
      <c r="S234" t="s">
        <v>1938</v>
      </c>
    </row>
    <row r="235" spans="1:19" x14ac:dyDescent="0.2">
      <c r="A235" t="s">
        <v>1939</v>
      </c>
      <c r="B235" t="s">
        <v>1939</v>
      </c>
      <c r="C235" t="s">
        <v>1940</v>
      </c>
      <c r="D235" t="s">
        <v>22</v>
      </c>
      <c r="E235" t="b">
        <v>0</v>
      </c>
      <c r="F235" t="s">
        <v>23</v>
      </c>
      <c r="G235" t="s">
        <v>1941</v>
      </c>
      <c r="H235" t="s">
        <v>188</v>
      </c>
      <c r="I235" t="s">
        <v>26</v>
      </c>
      <c r="J235" t="s">
        <v>27</v>
      </c>
      <c r="K235" t="s">
        <v>1942</v>
      </c>
      <c r="L235" t="s">
        <v>1943</v>
      </c>
      <c r="M235" t="s">
        <v>1944</v>
      </c>
      <c r="N235" t="s">
        <v>26</v>
      </c>
      <c r="O235" t="s">
        <v>26</v>
      </c>
      <c r="P235" t="s">
        <v>26</v>
      </c>
      <c r="Q235" s="1" t="d">
        <v>1950-11-01</v>
      </c>
      <c r="R235" t="s">
        <v>1945</v>
      </c>
      <c r="S235" t="s">
        <v>1946</v>
      </c>
    </row>
    <row r="236" spans="1:19" x14ac:dyDescent="0.2">
      <c r="A236" t="s">
        <v>1947</v>
      </c>
      <c r="B236" t="s">
        <v>1947</v>
      </c>
      <c r="C236" t="s">
        <v>1948</v>
      </c>
      <c r="D236" t="s">
        <v>22</v>
      </c>
      <c r="E236" t="b">
        <v>0</v>
      </c>
      <c r="F236" t="s">
        <v>23</v>
      </c>
      <c r="G236" t="s">
        <v>1949</v>
      </c>
      <c r="H236" t="s">
        <v>188</v>
      </c>
      <c r="I236" s="2" t="d">
        <v>2021-01-01</v>
      </c>
      <c r="J236" t="s">
        <v>27</v>
      </c>
      <c r="K236" t="s">
        <v>1950</v>
      </c>
      <c r="L236" t="s">
        <v>1947</v>
      </c>
      <c r="M236" t="s">
        <v>1951</v>
      </c>
      <c r="N236" t="s">
        <v>1952</v>
      </c>
      <c r="O236" t="s">
        <v>1953</v>
      </c>
      <c r="P236" t="s">
        <v>1954</v>
      </c>
      <c r="Q236" t="s">
        <v>54</v>
      </c>
      <c r="R236" t="s">
        <v>41</v>
      </c>
      <c r="S236" t="s">
        <v>1955</v>
      </c>
    </row>
    <row r="237" spans="1:19" x14ac:dyDescent="0.2">
      <c r="A237" t="s">
        <v>1956</v>
      </c>
      <c r="B237" t="s">
        <v>1956</v>
      </c>
      <c r="C237" t="s">
        <v>1957</v>
      </c>
      <c r="D237" t="s">
        <v>22</v>
      </c>
      <c r="E237" t="b">
        <v>0</v>
      </c>
      <c r="F237" t="s">
        <v>23</v>
      </c>
      <c r="G237" t="s">
        <v>1958</v>
      </c>
      <c r="H237" t="s">
        <v>634</v>
      </c>
      <c r="I237" t="s">
        <v>26</v>
      </c>
      <c r="J237" t="s">
        <v>27</v>
      </c>
      <c r="K237" t="s">
        <v>1959</v>
      </c>
      <c r="L237" t="s">
        <v>1960</v>
      </c>
      <c r="M237" t="s">
        <v>26</v>
      </c>
      <c r="N237" t="s">
        <v>1961</v>
      </c>
      <c r="O237" t="s">
        <v>1962</v>
      </c>
      <c r="P237" t="s">
        <v>26</v>
      </c>
      <c r="Q237" s="3" t="d">
        <v>2026-01-10</v>
      </c>
      <c r="R237" t="s">
        <v>448</v>
      </c>
      <c r="S237" t="s">
        <v>1963</v>
      </c>
    </row>
    <row r="238" spans="1:19" x14ac:dyDescent="0.2">
      <c r="A238" t="s">
        <v>1964</v>
      </c>
      <c r="B238" t="s">
        <v>1964</v>
      </c>
      <c r="C238" t="s">
        <v>1965</v>
      </c>
      <c r="D238" t="s">
        <v>22</v>
      </c>
      <c r="E238" t="b">
        <v>0</v>
      </c>
      <c r="F238" t="s">
        <v>23</v>
      </c>
      <c r="G238" t="s">
        <v>1966</v>
      </c>
      <c r="H238" t="s">
        <v>67</v>
      </c>
      <c r="I238" t="s">
        <v>26</v>
      </c>
      <c r="J238" t="s">
        <v>27</v>
      </c>
      <c r="K238" t="s">
        <v>1967</v>
      </c>
      <c r="L238" t="s">
        <v>1964</v>
      </c>
      <c r="M238" t="s">
        <v>1968</v>
      </c>
      <c r="N238" t="s">
        <v>1969</v>
      </c>
      <c r="O238" t="s">
        <v>1970</v>
      </c>
      <c r="P238" t="s">
        <v>26</v>
      </c>
      <c r="Q238" t="s">
        <v>54</v>
      </c>
      <c r="R238" t="s">
        <v>41</v>
      </c>
      <c r="S238" t="s">
        <v>1971</v>
      </c>
    </row>
    <row r="239" spans="1:19" x14ac:dyDescent="0.2">
      <c r="A239" t="s">
        <v>1972</v>
      </c>
      <c r="B239" t="s">
        <v>26</v>
      </c>
      <c r="C239" t="s">
        <v>1973</v>
      </c>
      <c r="D239" t="s">
        <v>26</v>
      </c>
      <c r="E239" t="s">
        <v>26</v>
      </c>
      <c r="F239" t="s">
        <v>26</v>
      </c>
      <c r="G239" t="s">
        <v>1974</v>
      </c>
      <c r="H239" t="s">
        <v>26</v>
      </c>
      <c r="I239" t="s">
        <v>26</v>
      </c>
      <c r="J239" t="s">
        <v>26</v>
      </c>
      <c r="K239" t="s">
        <v>1975</v>
      </c>
      <c r="L239" t="s">
        <v>1976</v>
      </c>
      <c r="M239" t="s">
        <v>26</v>
      </c>
      <c r="N239" t="s">
        <v>26</v>
      </c>
      <c r="O239" t="s">
        <v>26</v>
      </c>
      <c r="P239" t="s">
        <v>26</v>
      </c>
      <c r="Q239" t="s">
        <v>26</v>
      </c>
      <c r="R239" t="s">
        <v>1977</v>
      </c>
      <c r="S239" t="s">
        <v>1978</v>
      </c>
    </row>
    <row r="240" spans="1:19" x14ac:dyDescent="0.2">
      <c r="A240" t="s">
        <v>1979</v>
      </c>
      <c r="B240" t="s">
        <v>1979</v>
      </c>
      <c r="C240" t="s">
        <v>1980</v>
      </c>
      <c r="D240" t="s">
        <v>22</v>
      </c>
      <c r="E240" t="b">
        <v>0</v>
      </c>
      <c r="F240" t="s">
        <v>23</v>
      </c>
      <c r="G240" t="s">
        <v>1981</v>
      </c>
      <c r="H240" t="s">
        <v>1982</v>
      </c>
      <c r="I240" t="s">
        <v>26</v>
      </c>
      <c r="J240" t="s">
        <v>27</v>
      </c>
      <c r="K240" t="s">
        <v>1983</v>
      </c>
      <c r="L240" t="s">
        <v>1984</v>
      </c>
      <c r="M240" t="s">
        <v>1985</v>
      </c>
      <c r="N240" t="s">
        <v>26</v>
      </c>
      <c r="O240" t="s">
        <v>1986</v>
      </c>
      <c r="P240" t="s">
        <v>1987</v>
      </c>
      <c r="Q240" s="3" t="d">
        <v>2026-01-10</v>
      </c>
      <c r="R240" t="s">
        <v>1988</v>
      </c>
      <c r="S240" t="s">
        <v>1989</v>
      </c>
    </row>
    <row r="241" spans="1:19" x14ac:dyDescent="0.2">
      <c r="A241" t="s">
        <v>1990</v>
      </c>
      <c r="B241" t="s">
        <v>1990</v>
      </c>
      <c r="C241" t="s">
        <v>1991</v>
      </c>
      <c r="D241" t="s">
        <v>22</v>
      </c>
      <c r="E241" t="b">
        <v>0</v>
      </c>
      <c r="F241" t="s">
        <v>23</v>
      </c>
      <c r="G241" t="s">
        <v>1992</v>
      </c>
      <c r="H241" t="s">
        <v>67</v>
      </c>
      <c r="I241" t="s">
        <v>26</v>
      </c>
      <c r="J241" t="s">
        <v>27</v>
      </c>
      <c r="K241" t="s">
        <v>1993</v>
      </c>
      <c r="L241" t="s">
        <v>1990</v>
      </c>
      <c r="M241" t="s">
        <v>1994</v>
      </c>
      <c r="N241" t="s">
        <v>1995</v>
      </c>
      <c r="O241" t="s">
        <v>1996</v>
      </c>
      <c r="P241" t="s">
        <v>26</v>
      </c>
      <c r="Q241" s="3" t="d">
        <v>2026-01-10</v>
      </c>
      <c r="R241" t="s">
        <v>1997</v>
      </c>
      <c r="S241" t="s">
        <v>1998</v>
      </c>
    </row>
    <row r="242" spans="1:19" x14ac:dyDescent="0.2">
      <c r="A242" t="s">
        <v>1999</v>
      </c>
      <c r="B242" t="s">
        <v>1999</v>
      </c>
      <c r="C242" t="s">
        <v>2000</v>
      </c>
      <c r="D242" t="s">
        <v>22</v>
      </c>
      <c r="E242" t="b">
        <v>0</v>
      </c>
      <c r="F242" t="s">
        <v>23</v>
      </c>
      <c r="G242" t="s">
        <v>2001</v>
      </c>
      <c r="H242" t="s">
        <v>1627</v>
      </c>
      <c r="I242" s="2" t="d">
        <v>2022-01-01</v>
      </c>
      <c r="J242" t="s">
        <v>27</v>
      </c>
      <c r="K242" t="s">
        <v>2002</v>
      </c>
      <c r="L242" t="s">
        <v>2003</v>
      </c>
      <c r="M242" t="s">
        <v>2004</v>
      </c>
      <c r="N242" t="s">
        <v>2005</v>
      </c>
      <c r="O242" t="s">
        <v>26</v>
      </c>
      <c r="P242" t="s">
        <v>2006</v>
      </c>
      <c r="Q242" t="s">
        <v>54</v>
      </c>
      <c r="R242" t="s">
        <v>41</v>
      </c>
      <c r="S242" t="s">
        <v>2007</v>
      </c>
    </row>
    <row r="243" spans="1:19" x14ac:dyDescent="0.2">
      <c r="A243" t="s">
        <v>2008</v>
      </c>
      <c r="B243" t="s">
        <v>2009</v>
      </c>
      <c r="C243" t="s">
        <v>2010</v>
      </c>
      <c r="D243" t="s">
        <v>22</v>
      </c>
      <c r="E243" t="b">
        <v>0</v>
      </c>
      <c r="F243" t="s">
        <v>23</v>
      </c>
      <c r="G243" t="s">
        <v>2011</v>
      </c>
      <c r="H243" t="s">
        <v>2012</v>
      </c>
      <c r="I243" s="2" t="d">
        <v>2022-01-01</v>
      </c>
      <c r="J243" t="s">
        <v>27</v>
      </c>
      <c r="K243" t="s">
        <v>2013</v>
      </c>
      <c r="L243" t="s">
        <v>2014</v>
      </c>
      <c r="M243" t="s">
        <v>2015</v>
      </c>
      <c r="N243" t="s">
        <v>2016</v>
      </c>
      <c r="O243" t="s">
        <v>2017</v>
      </c>
      <c r="P243" t="s">
        <v>26</v>
      </c>
      <c r="Q243" s="1" t="d">
        <v>1950-11-01</v>
      </c>
      <c r="R243" t="s">
        <v>41</v>
      </c>
      <c r="S243" t="s">
        <v>2018</v>
      </c>
    </row>
    <row r="244" spans="1:19" x14ac:dyDescent="0.2">
      <c r="A244" t="s">
        <v>2019</v>
      </c>
      <c r="B244" t="s">
        <v>26</v>
      </c>
      <c r="C244" t="s">
        <v>2020</v>
      </c>
      <c r="D244" t="s">
        <v>26</v>
      </c>
      <c r="E244" t="s">
        <v>26</v>
      </c>
      <c r="F244" t="s">
        <v>26</v>
      </c>
      <c r="G244" t="s">
        <v>2021</v>
      </c>
      <c r="H244" t="s">
        <v>26</v>
      </c>
      <c r="I244" t="s">
        <v>26</v>
      </c>
      <c r="J244" t="s">
        <v>26</v>
      </c>
      <c r="K244" t="s">
        <v>2022</v>
      </c>
      <c r="L244" t="s">
        <v>2023</v>
      </c>
      <c r="M244" t="s">
        <v>2024</v>
      </c>
      <c r="N244" t="s">
        <v>26</v>
      </c>
      <c r="O244" t="s">
        <v>26</v>
      </c>
      <c r="P244" t="s">
        <v>26</v>
      </c>
      <c r="Q244" t="s">
        <v>26</v>
      </c>
      <c r="R244" t="s">
        <v>481</v>
      </c>
      <c r="S244" t="s">
        <v>2025</v>
      </c>
    </row>
    <row r="245" spans="1:19" x14ac:dyDescent="0.2">
      <c r="A245" t="s">
        <v>2026</v>
      </c>
      <c r="B245" t="s">
        <v>2027</v>
      </c>
      <c r="C245" t="s">
        <v>2028</v>
      </c>
      <c r="D245" t="s">
        <v>22</v>
      </c>
      <c r="E245" t="b">
        <v>0</v>
      </c>
      <c r="F245" t="s">
        <v>23</v>
      </c>
      <c r="G245" t="s">
        <v>2029</v>
      </c>
      <c r="H245" t="s">
        <v>2030</v>
      </c>
      <c r="I245" s="2" t="d">
        <v>2011-01-01</v>
      </c>
      <c r="J245" t="s">
        <v>27</v>
      </c>
      <c r="K245" t="s">
        <v>2031</v>
      </c>
      <c r="L245" t="s">
        <v>2032</v>
      </c>
      <c r="M245" t="s">
        <v>2033</v>
      </c>
      <c r="N245" t="s">
        <v>2034</v>
      </c>
      <c r="O245" t="s">
        <v>2035</v>
      </c>
      <c r="P245" t="s">
        <v>26</v>
      </c>
      <c r="Q245" t="s">
        <v>54</v>
      </c>
      <c r="R245" t="s">
        <v>448</v>
      </c>
      <c r="S245" t="s">
        <v>2036</v>
      </c>
    </row>
    <row r="246" spans="1:19" x14ac:dyDescent="0.2">
      <c r="A246" t="s">
        <v>2037</v>
      </c>
      <c r="B246" t="s">
        <v>26</v>
      </c>
      <c r="C246" t="s">
        <v>2038</v>
      </c>
      <c r="D246" t="s">
        <v>26</v>
      </c>
      <c r="E246" t="s">
        <v>26</v>
      </c>
      <c r="F246" t="s">
        <v>26</v>
      </c>
      <c r="G246" t="s">
        <v>2039</v>
      </c>
      <c r="H246" t="s">
        <v>26</v>
      </c>
      <c r="I246" t="s">
        <v>26</v>
      </c>
      <c r="J246" t="s">
        <v>26</v>
      </c>
      <c r="K246" t="s">
        <v>2040</v>
      </c>
      <c r="L246" t="s">
        <v>2037</v>
      </c>
      <c r="M246" t="s">
        <v>26</v>
      </c>
      <c r="N246" t="s">
        <v>26</v>
      </c>
      <c r="O246" t="s">
        <v>26</v>
      </c>
      <c r="P246" t="s">
        <v>26</v>
      </c>
      <c r="Q246" t="s">
        <v>26</v>
      </c>
      <c r="R246" t="s">
        <v>2041</v>
      </c>
      <c r="S246" t="s">
        <v>2042</v>
      </c>
    </row>
    <row r="247" spans="1:19" x14ac:dyDescent="0.2">
      <c r="A247" t="s">
        <v>2043</v>
      </c>
      <c r="B247" t="s">
        <v>2044</v>
      </c>
      <c r="C247" t="s">
        <v>2045</v>
      </c>
      <c r="D247" t="s">
        <v>22</v>
      </c>
      <c r="E247" t="b">
        <v>0</v>
      </c>
      <c r="F247" t="s">
        <v>23</v>
      </c>
      <c r="G247" t="s">
        <v>2046</v>
      </c>
      <c r="H247" t="s">
        <v>634</v>
      </c>
      <c r="I247" t="s">
        <v>26</v>
      </c>
      <c r="J247" t="s">
        <v>27</v>
      </c>
      <c r="K247" t="s">
        <v>2047</v>
      </c>
      <c r="L247" t="s">
        <v>2048</v>
      </c>
      <c r="M247" t="s">
        <v>2049</v>
      </c>
      <c r="N247" t="s">
        <v>2050</v>
      </c>
      <c r="O247" t="s">
        <v>2051</v>
      </c>
      <c r="P247" t="s">
        <v>2052</v>
      </c>
      <c r="Q247" t="s">
        <v>621</v>
      </c>
      <c r="R247" t="s">
        <v>41</v>
      </c>
      <c r="S247" t="s">
        <v>2053</v>
      </c>
    </row>
    <row r="248" spans="1:19" x14ac:dyDescent="0.2">
      <c r="A248" t="s">
        <v>2054</v>
      </c>
      <c r="B248" t="s">
        <v>2054</v>
      </c>
      <c r="C248" t="s">
        <v>2055</v>
      </c>
      <c r="D248" t="s">
        <v>22</v>
      </c>
      <c r="E248" t="b">
        <v>0</v>
      </c>
      <c r="F248" t="s">
        <v>26</v>
      </c>
      <c r="G248" t="s">
        <v>2056</v>
      </c>
      <c r="H248" t="s">
        <v>2057</v>
      </c>
      <c r="I248" t="s">
        <v>26</v>
      </c>
      <c r="J248" t="s">
        <v>27</v>
      </c>
      <c r="K248" t="s">
        <v>2058</v>
      </c>
      <c r="L248" t="s">
        <v>2059</v>
      </c>
      <c r="M248" t="s">
        <v>26</v>
      </c>
      <c r="N248" t="s">
        <v>2060</v>
      </c>
      <c r="O248" t="s">
        <v>26</v>
      </c>
      <c r="P248" t="s">
        <v>26</v>
      </c>
      <c r="Q248" t="s">
        <v>621</v>
      </c>
      <c r="R248" t="s">
        <v>1252</v>
      </c>
      <c r="S248" t="s">
        <v>2061</v>
      </c>
    </row>
    <row r="249" spans="1:19" x14ac:dyDescent="0.2">
      <c r="A249" t="s">
        <v>2062</v>
      </c>
      <c r="B249" t="s">
        <v>2062</v>
      </c>
      <c r="C249" t="s">
        <v>2063</v>
      </c>
      <c r="D249" t="s">
        <v>22</v>
      </c>
      <c r="E249" t="b">
        <v>0</v>
      </c>
      <c r="F249" t="s">
        <v>23</v>
      </c>
      <c r="G249" t="s">
        <v>2064</v>
      </c>
      <c r="H249" t="s">
        <v>2065</v>
      </c>
      <c r="I249" s="2" t="d">
        <v>2009-01-01</v>
      </c>
      <c r="J249" t="s">
        <v>27</v>
      </c>
      <c r="K249" t="s">
        <v>2066</v>
      </c>
      <c r="L249" t="s">
        <v>2067</v>
      </c>
      <c r="M249" t="s">
        <v>2068</v>
      </c>
      <c r="N249" t="s">
        <v>2069</v>
      </c>
      <c r="O249" t="s">
        <v>2070</v>
      </c>
      <c r="P249" t="s">
        <v>2071</v>
      </c>
      <c r="Q249" s="1" t="d">
        <v>1950-11-01</v>
      </c>
      <c r="R249" t="s">
        <v>41</v>
      </c>
      <c r="S249" t="s">
        <v>2072</v>
      </c>
    </row>
    <row r="250" spans="1:19" x14ac:dyDescent="0.2">
      <c r="A250" t="s">
        <v>2073</v>
      </c>
      <c r="B250" t="s">
        <v>2073</v>
      </c>
      <c r="C250" t="s">
        <v>2074</v>
      </c>
      <c r="D250" t="s">
        <v>22</v>
      </c>
      <c r="E250" t="b">
        <v>0</v>
      </c>
      <c r="F250" t="s">
        <v>23</v>
      </c>
      <c r="G250" t="s">
        <v>2075</v>
      </c>
      <c r="H250" t="s">
        <v>2076</v>
      </c>
      <c r="I250" s="2" t="d">
        <v>2019-02-01</v>
      </c>
      <c r="J250" t="s">
        <v>27</v>
      </c>
      <c r="K250" t="s">
        <v>2077</v>
      </c>
      <c r="L250" t="s">
        <v>2073</v>
      </c>
      <c r="M250" t="s">
        <v>2078</v>
      </c>
      <c r="N250" t="s">
        <v>2079</v>
      </c>
      <c r="O250" t="s">
        <v>2080</v>
      </c>
      <c r="P250">
        <v>41788761469</v>
      </c>
      <c r="Q250" s="1" t="d">
        <v>1950-11-01</v>
      </c>
      <c r="R250" t="s">
        <v>41</v>
      </c>
      <c r="S250" t="s">
        <v>2081</v>
      </c>
    </row>
    <row r="251" spans="1:19" x14ac:dyDescent="0.2">
      <c r="A251" t="s">
        <v>2082</v>
      </c>
      <c r="B251" t="s">
        <v>2083</v>
      </c>
      <c r="C251" t="s">
        <v>2084</v>
      </c>
      <c r="D251" t="s">
        <v>22</v>
      </c>
      <c r="E251" t="b">
        <v>0</v>
      </c>
      <c r="F251" t="s">
        <v>23</v>
      </c>
      <c r="G251" t="s">
        <v>2085</v>
      </c>
      <c r="H251" t="s">
        <v>2086</v>
      </c>
      <c r="I251" s="2" t="d">
        <v>2019-01-01</v>
      </c>
      <c r="J251" t="s">
        <v>27</v>
      </c>
      <c r="K251" t="s">
        <v>2087</v>
      </c>
      <c r="L251" t="s">
        <v>2088</v>
      </c>
      <c r="M251" t="s">
        <v>2089</v>
      </c>
      <c r="N251" t="s">
        <v>2090</v>
      </c>
      <c r="O251" t="s">
        <v>2091</v>
      </c>
      <c r="P251" t="s">
        <v>2092</v>
      </c>
      <c r="Q251" t="s">
        <v>54</v>
      </c>
      <c r="R251" t="s">
        <v>41</v>
      </c>
      <c r="S251" t="s">
        <v>2093</v>
      </c>
    </row>
    <row r="252" spans="1:19" x14ac:dyDescent="0.2">
      <c r="A252" t="s">
        <v>2094</v>
      </c>
      <c r="B252" t="s">
        <v>2094</v>
      </c>
      <c r="C252" t="s">
        <v>2095</v>
      </c>
      <c r="D252" t="s">
        <v>22</v>
      </c>
      <c r="E252" t="b">
        <v>0</v>
      </c>
      <c r="F252" t="s">
        <v>23</v>
      </c>
      <c r="G252" t="s">
        <v>2096</v>
      </c>
      <c r="H252" t="s">
        <v>2097</v>
      </c>
      <c r="I252" t="s">
        <v>26</v>
      </c>
      <c r="J252" t="s">
        <v>27</v>
      </c>
      <c r="K252" t="s">
        <v>2098</v>
      </c>
      <c r="L252" t="s">
        <v>2094</v>
      </c>
      <c r="M252" t="s">
        <v>2099</v>
      </c>
      <c r="N252" t="s">
        <v>26</v>
      </c>
      <c r="O252" t="s">
        <v>2100</v>
      </c>
      <c r="P252" t="s">
        <v>2101</v>
      </c>
      <c r="Q252" s="1" t="d">
        <v>1950-11-01</v>
      </c>
      <c r="R252" t="s">
        <v>41</v>
      </c>
      <c r="S252" t="s">
        <v>2102</v>
      </c>
    </row>
    <row r="253" spans="1:19" x14ac:dyDescent="0.2">
      <c r="A253" t="s">
        <v>2103</v>
      </c>
      <c r="B253" t="s">
        <v>2104</v>
      </c>
      <c r="C253" t="s">
        <v>2105</v>
      </c>
      <c r="D253" t="s">
        <v>22</v>
      </c>
      <c r="E253" t="b">
        <v>0</v>
      </c>
      <c r="F253" t="s">
        <v>23</v>
      </c>
      <c r="G253" t="s">
        <v>2106</v>
      </c>
      <c r="H253" t="s">
        <v>246</v>
      </c>
      <c r="I253" s="2" t="d">
        <v>2023-05-01</v>
      </c>
      <c r="J253" t="s">
        <v>27</v>
      </c>
      <c r="K253" t="s">
        <v>2107</v>
      </c>
      <c r="L253" t="s">
        <v>2108</v>
      </c>
      <c r="M253" t="s">
        <v>2109</v>
      </c>
      <c r="N253" t="s">
        <v>26</v>
      </c>
      <c r="O253" t="s">
        <v>2110</v>
      </c>
      <c r="P253" t="s">
        <v>26</v>
      </c>
      <c r="Q253" t="s">
        <v>54</v>
      </c>
      <c r="R253" t="s">
        <v>41</v>
      </c>
      <c r="S253" t="s">
        <v>2111</v>
      </c>
    </row>
    <row r="254" spans="1:19" x14ac:dyDescent="0.2">
      <c r="A254" t="s">
        <v>2112</v>
      </c>
      <c r="B254" t="s">
        <v>2112</v>
      </c>
      <c r="C254" t="s">
        <v>2113</v>
      </c>
      <c r="D254" t="s">
        <v>22</v>
      </c>
      <c r="E254" t="b">
        <v>0</v>
      </c>
      <c r="F254" t="s">
        <v>23</v>
      </c>
      <c r="G254" t="s">
        <v>2114</v>
      </c>
      <c r="H254" t="s">
        <v>67</v>
      </c>
      <c r="I254" t="s">
        <v>26</v>
      </c>
      <c r="J254" t="s">
        <v>27</v>
      </c>
      <c r="K254" t="s">
        <v>2115</v>
      </c>
      <c r="L254" t="s">
        <v>2116</v>
      </c>
      <c r="M254" t="s">
        <v>2117</v>
      </c>
      <c r="N254" t="s">
        <v>26</v>
      </c>
      <c r="O254" t="s">
        <v>2118</v>
      </c>
      <c r="P254" t="s">
        <v>26</v>
      </c>
      <c r="Q254" t="s">
        <v>113</v>
      </c>
      <c r="R254" t="s">
        <v>41</v>
      </c>
      <c r="S254" t="s">
        <v>2119</v>
      </c>
    </row>
    <row r="255" spans="1:19" x14ac:dyDescent="0.2">
      <c r="A255" t="s">
        <v>2120</v>
      </c>
      <c r="B255" t="s">
        <v>2121</v>
      </c>
      <c r="C255" t="s">
        <v>2122</v>
      </c>
      <c r="D255" t="s">
        <v>22</v>
      </c>
      <c r="E255" t="b">
        <v>0</v>
      </c>
      <c r="F255" t="s">
        <v>23</v>
      </c>
      <c r="G255" t="s">
        <v>2123</v>
      </c>
      <c r="H255" t="s">
        <v>2124</v>
      </c>
      <c r="I255" s="2" t="d">
        <v>2016-01-01</v>
      </c>
      <c r="J255" t="s">
        <v>27</v>
      </c>
      <c r="K255" t="s">
        <v>2125</v>
      </c>
      <c r="L255" t="s">
        <v>2126</v>
      </c>
      <c r="M255" t="s">
        <v>2127</v>
      </c>
      <c r="N255" t="s">
        <v>2128</v>
      </c>
      <c r="O255" t="s">
        <v>2129</v>
      </c>
      <c r="P255" t="s">
        <v>2130</v>
      </c>
      <c r="Q255" t="s">
        <v>218</v>
      </c>
      <c r="R255" t="s">
        <v>41</v>
      </c>
      <c r="S255" t="s">
        <v>2131</v>
      </c>
    </row>
    <row r="256" spans="1:19" x14ac:dyDescent="0.2">
      <c r="A256" t="s">
        <v>2132</v>
      </c>
      <c r="B256" t="s">
        <v>2132</v>
      </c>
      <c r="C256" t="s">
        <v>2133</v>
      </c>
      <c r="D256" t="s">
        <v>22</v>
      </c>
      <c r="E256" t="b">
        <v>0</v>
      </c>
      <c r="F256" t="s">
        <v>26</v>
      </c>
      <c r="G256" t="s">
        <v>2134</v>
      </c>
      <c r="H256" t="s">
        <v>1063</v>
      </c>
      <c r="I256" t="s">
        <v>26</v>
      </c>
      <c r="J256" t="s">
        <v>27</v>
      </c>
      <c r="K256" t="s">
        <v>2135</v>
      </c>
      <c r="L256" t="s">
        <v>2136</v>
      </c>
      <c r="M256" t="s">
        <v>2137</v>
      </c>
      <c r="N256" t="s">
        <v>26</v>
      </c>
      <c r="O256" t="s">
        <v>2138</v>
      </c>
      <c r="P256">
        <f>91-814-727-7878</f>
        <v>-9328</v>
      </c>
      <c r="Q256" s="3" t="d">
        <v>2026-01-10</v>
      </c>
      <c r="R256" t="s">
        <v>2139</v>
      </c>
      <c r="S256" t="s">
        <v>2140</v>
      </c>
    </row>
    <row r="257" spans="1:19" x14ac:dyDescent="0.2">
      <c r="A257" t="s">
        <v>2141</v>
      </c>
      <c r="B257" t="s">
        <v>2141</v>
      </c>
      <c r="C257" t="s">
        <v>2142</v>
      </c>
      <c r="D257" t="s">
        <v>22</v>
      </c>
      <c r="E257" t="b">
        <v>0</v>
      </c>
      <c r="F257" t="s">
        <v>23</v>
      </c>
      <c r="G257" t="s">
        <v>2143</v>
      </c>
      <c r="H257" t="s">
        <v>2144</v>
      </c>
      <c r="I257" t="s">
        <v>26</v>
      </c>
      <c r="J257" t="s">
        <v>27</v>
      </c>
      <c r="K257" t="s">
        <v>2145</v>
      </c>
      <c r="L257" t="s">
        <v>2141</v>
      </c>
      <c r="M257" t="s">
        <v>2146</v>
      </c>
      <c r="N257" t="s">
        <v>26</v>
      </c>
      <c r="O257" t="s">
        <v>2147</v>
      </c>
      <c r="P257" t="s">
        <v>2148</v>
      </c>
      <c r="Q257" t="s">
        <v>621</v>
      </c>
      <c r="R257" t="s">
        <v>448</v>
      </c>
      <c r="S257" t="s">
        <v>2149</v>
      </c>
    </row>
    <row r="258" spans="1:19" x14ac:dyDescent="0.2">
      <c r="A258" t="s">
        <v>2150</v>
      </c>
      <c r="B258" t="s">
        <v>26</v>
      </c>
      <c r="C258" t="s">
        <v>2151</v>
      </c>
      <c r="D258" t="s">
        <v>26</v>
      </c>
      <c r="E258" t="s">
        <v>26</v>
      </c>
      <c r="F258" t="s">
        <v>26</v>
      </c>
      <c r="G258" t="s">
        <v>2152</v>
      </c>
      <c r="H258" t="s">
        <v>26</v>
      </c>
      <c r="I258" t="s">
        <v>26</v>
      </c>
      <c r="J258" t="s">
        <v>26</v>
      </c>
      <c r="K258" t="s">
        <v>2153</v>
      </c>
      <c r="L258" t="s">
        <v>26</v>
      </c>
      <c r="M258" t="s">
        <v>26</v>
      </c>
      <c r="N258" t="s">
        <v>26</v>
      </c>
      <c r="O258" t="s">
        <v>26</v>
      </c>
      <c r="P258" t="s">
        <v>26</v>
      </c>
      <c r="Q258" t="s">
        <v>26</v>
      </c>
      <c r="R258" t="s">
        <v>1066</v>
      </c>
      <c r="S258" t="s">
        <v>2154</v>
      </c>
    </row>
    <row r="259" spans="1:19" x14ac:dyDescent="0.2">
      <c r="A259" t="s">
        <v>2155</v>
      </c>
      <c r="B259" t="s">
        <v>2156</v>
      </c>
      <c r="C259" t="s">
        <v>2157</v>
      </c>
      <c r="D259" t="s">
        <v>22</v>
      </c>
      <c r="E259" t="b">
        <v>0</v>
      </c>
      <c r="F259" t="s">
        <v>23</v>
      </c>
      <c r="G259" t="s">
        <v>2158</v>
      </c>
      <c r="H259" t="s">
        <v>634</v>
      </c>
      <c r="I259" t="s">
        <v>26</v>
      </c>
      <c r="J259" t="s">
        <v>27</v>
      </c>
      <c r="K259" t="s">
        <v>2159</v>
      </c>
      <c r="L259" t="s">
        <v>2155</v>
      </c>
      <c r="M259" t="s">
        <v>2160</v>
      </c>
      <c r="N259" t="s">
        <v>2161</v>
      </c>
      <c r="O259" t="s">
        <v>26</v>
      </c>
      <c r="P259" t="s">
        <v>26</v>
      </c>
      <c r="Q259" s="3" t="d">
        <v>2026-01-10</v>
      </c>
      <c r="R259" t="s">
        <v>1457</v>
      </c>
      <c r="S259" t="s">
        <v>2162</v>
      </c>
    </row>
    <row r="260" spans="1:19" x14ac:dyDescent="0.2">
      <c r="A260" t="s">
        <v>2163</v>
      </c>
      <c r="B260" t="s">
        <v>2163</v>
      </c>
      <c r="C260" t="s">
        <v>2164</v>
      </c>
      <c r="D260" t="s">
        <v>22</v>
      </c>
      <c r="E260" t="b">
        <v>0</v>
      </c>
      <c r="F260" t="s">
        <v>23</v>
      </c>
      <c r="G260" t="s">
        <v>2165</v>
      </c>
      <c r="H260" t="s">
        <v>2166</v>
      </c>
      <c r="I260" t="s">
        <v>26</v>
      </c>
      <c r="J260" t="s">
        <v>27</v>
      </c>
      <c r="K260" t="s">
        <v>2167</v>
      </c>
      <c r="L260" t="s">
        <v>2163</v>
      </c>
      <c r="M260" t="s">
        <v>26</v>
      </c>
      <c r="N260" t="s">
        <v>2168</v>
      </c>
      <c r="O260" t="s">
        <v>2169</v>
      </c>
      <c r="P260" t="s">
        <v>2170</v>
      </c>
      <c r="Q260" t="s">
        <v>54</v>
      </c>
      <c r="R260" t="s">
        <v>431</v>
      </c>
      <c r="S260" t="s">
        <v>2171</v>
      </c>
    </row>
    <row r="261" spans="1:19" x14ac:dyDescent="0.2">
      <c r="A261" t="s">
        <v>2172</v>
      </c>
      <c r="B261" t="s">
        <v>26</v>
      </c>
      <c r="C261" t="s">
        <v>2173</v>
      </c>
      <c r="D261" t="s">
        <v>26</v>
      </c>
      <c r="E261" t="s">
        <v>26</v>
      </c>
      <c r="F261" t="s">
        <v>26</v>
      </c>
      <c r="G261" t="s">
        <v>2174</v>
      </c>
      <c r="H261" t="s">
        <v>26</v>
      </c>
      <c r="I261" t="s">
        <v>26</v>
      </c>
      <c r="J261" t="s">
        <v>26</v>
      </c>
      <c r="K261" t="s">
        <v>2175</v>
      </c>
      <c r="L261" t="s">
        <v>2172</v>
      </c>
      <c r="M261" t="s">
        <v>2176</v>
      </c>
      <c r="N261" t="s">
        <v>26</v>
      </c>
      <c r="O261" t="s">
        <v>26</v>
      </c>
      <c r="P261" t="s">
        <v>26</v>
      </c>
      <c r="Q261" t="s">
        <v>26</v>
      </c>
      <c r="R261" t="s">
        <v>2177</v>
      </c>
      <c r="S261" t="s">
        <v>2178</v>
      </c>
    </row>
    <row r="262" spans="1:19" x14ac:dyDescent="0.2">
      <c r="A262" t="s">
        <v>2179</v>
      </c>
      <c r="B262" t="s">
        <v>2179</v>
      </c>
      <c r="C262" t="s">
        <v>2180</v>
      </c>
      <c r="D262" t="s">
        <v>22</v>
      </c>
      <c r="E262" t="b">
        <v>0</v>
      </c>
      <c r="F262" t="s">
        <v>23</v>
      </c>
      <c r="G262" t="s">
        <v>2181</v>
      </c>
      <c r="H262" t="s">
        <v>986</v>
      </c>
      <c r="I262" t="s">
        <v>26</v>
      </c>
      <c r="J262" t="s">
        <v>27</v>
      </c>
      <c r="K262" t="s">
        <v>2182</v>
      </c>
      <c r="L262" t="s">
        <v>2183</v>
      </c>
      <c r="M262" t="s">
        <v>2184</v>
      </c>
      <c r="N262" t="s">
        <v>2185</v>
      </c>
      <c r="O262" t="s">
        <v>2186</v>
      </c>
      <c r="P262" t="s">
        <v>2187</v>
      </c>
      <c r="Q262" t="s">
        <v>54</v>
      </c>
      <c r="R262" t="s">
        <v>41</v>
      </c>
      <c r="S262" t="s">
        <v>2188</v>
      </c>
    </row>
    <row r="263" spans="1:19" x14ac:dyDescent="0.2">
      <c r="A263" t="s">
        <v>2189</v>
      </c>
      <c r="B263" t="s">
        <v>2189</v>
      </c>
      <c r="C263" t="s">
        <v>2190</v>
      </c>
      <c r="D263" t="s">
        <v>22</v>
      </c>
      <c r="E263" t="b">
        <v>0</v>
      </c>
      <c r="F263" t="s">
        <v>23</v>
      </c>
      <c r="G263" t="s">
        <v>2191</v>
      </c>
      <c r="H263" t="s">
        <v>660</v>
      </c>
      <c r="I263" t="s">
        <v>26</v>
      </c>
      <c r="J263" t="s">
        <v>27</v>
      </c>
      <c r="K263" t="s">
        <v>2192</v>
      </c>
      <c r="L263" t="s">
        <v>2193</v>
      </c>
      <c r="M263" t="s">
        <v>2194</v>
      </c>
      <c r="N263" t="s">
        <v>2195</v>
      </c>
      <c r="O263" t="s">
        <v>2196</v>
      </c>
      <c r="P263" t="s">
        <v>26</v>
      </c>
      <c r="Q263" t="s">
        <v>218</v>
      </c>
      <c r="R263" t="s">
        <v>41</v>
      </c>
      <c r="S263" t="s">
        <v>2197</v>
      </c>
    </row>
    <row r="264" spans="1:19" x14ac:dyDescent="0.2">
      <c r="A264" t="s">
        <v>2198</v>
      </c>
      <c r="B264" t="s">
        <v>2198</v>
      </c>
      <c r="C264" t="s">
        <v>2199</v>
      </c>
      <c r="D264" t="s">
        <v>22</v>
      </c>
      <c r="E264" t="b">
        <v>0</v>
      </c>
      <c r="F264" t="s">
        <v>23</v>
      </c>
      <c r="G264" t="s">
        <v>2200</v>
      </c>
      <c r="H264" t="s">
        <v>2201</v>
      </c>
      <c r="I264" t="s">
        <v>26</v>
      </c>
      <c r="J264" t="s">
        <v>27</v>
      </c>
      <c r="K264" t="s">
        <v>2202</v>
      </c>
      <c r="L264" t="s">
        <v>2198</v>
      </c>
      <c r="M264" t="s">
        <v>2203</v>
      </c>
      <c r="N264" t="s">
        <v>26</v>
      </c>
      <c r="O264" t="s">
        <v>26</v>
      </c>
      <c r="P264" t="s">
        <v>26</v>
      </c>
      <c r="Q264" s="3" t="d">
        <v>2026-01-10</v>
      </c>
      <c r="R264" t="s">
        <v>2204</v>
      </c>
      <c r="S264" t="s">
        <v>2205</v>
      </c>
    </row>
    <row r="265" spans="1:19" x14ac:dyDescent="0.2">
      <c r="A265" t="s">
        <v>2206</v>
      </c>
      <c r="B265" t="s">
        <v>2207</v>
      </c>
      <c r="C265" t="s">
        <v>2208</v>
      </c>
      <c r="D265" t="s">
        <v>22</v>
      </c>
      <c r="E265" t="b">
        <v>0</v>
      </c>
      <c r="F265" t="s">
        <v>23</v>
      </c>
      <c r="G265" t="s">
        <v>2209</v>
      </c>
      <c r="H265" t="s">
        <v>986</v>
      </c>
      <c r="I265" s="2" t="d">
        <v>2022-01-01</v>
      </c>
      <c r="J265" t="s">
        <v>27</v>
      </c>
      <c r="K265" t="s">
        <v>2210</v>
      </c>
      <c r="L265" t="s">
        <v>2211</v>
      </c>
      <c r="M265" t="s">
        <v>2212</v>
      </c>
      <c r="N265" t="s">
        <v>26</v>
      </c>
      <c r="O265" t="s">
        <v>26</v>
      </c>
      <c r="P265" t="s">
        <v>26</v>
      </c>
      <c r="Q265" t="s">
        <v>40</v>
      </c>
      <c r="R265" t="s">
        <v>2213</v>
      </c>
      <c r="S265" t="s">
        <v>2214</v>
      </c>
    </row>
    <row r="266" spans="1:19" x14ac:dyDescent="0.2">
      <c r="A266" t="s">
        <v>2215</v>
      </c>
      <c r="B266" t="s">
        <v>2215</v>
      </c>
      <c r="C266" t="s">
        <v>2216</v>
      </c>
      <c r="D266" t="s">
        <v>22</v>
      </c>
      <c r="E266" t="b">
        <v>1</v>
      </c>
      <c r="F266" t="s">
        <v>23</v>
      </c>
      <c r="G266" t="s">
        <v>2217</v>
      </c>
      <c r="H266" t="s">
        <v>173</v>
      </c>
      <c r="I266" t="s">
        <v>26</v>
      </c>
      <c r="J266" t="s">
        <v>27</v>
      </c>
      <c r="K266" t="s">
        <v>2218</v>
      </c>
      <c r="L266" t="s">
        <v>2215</v>
      </c>
      <c r="M266" t="s">
        <v>2219</v>
      </c>
      <c r="N266" t="s">
        <v>2220</v>
      </c>
      <c r="O266" t="s">
        <v>2221</v>
      </c>
      <c r="P266" t="s">
        <v>26</v>
      </c>
      <c r="Q266" t="s">
        <v>218</v>
      </c>
      <c r="R266" t="s">
        <v>1457</v>
      </c>
      <c r="S266" t="s">
        <v>2222</v>
      </c>
    </row>
    <row r="267" spans="1:19" x14ac:dyDescent="0.2">
      <c r="A267" t="s">
        <v>2223</v>
      </c>
      <c r="B267" t="s">
        <v>2223</v>
      </c>
      <c r="C267" t="s">
        <v>2224</v>
      </c>
      <c r="D267" t="s">
        <v>22</v>
      </c>
      <c r="E267" t="b">
        <v>0</v>
      </c>
      <c r="F267" t="s">
        <v>23</v>
      </c>
      <c r="G267" t="s">
        <v>2225</v>
      </c>
      <c r="H267" t="s">
        <v>1241</v>
      </c>
      <c r="I267" s="2" t="d">
        <v>2021-01-01</v>
      </c>
      <c r="J267" t="s">
        <v>27</v>
      </c>
      <c r="K267" t="s">
        <v>2226</v>
      </c>
      <c r="L267" t="s">
        <v>2227</v>
      </c>
      <c r="M267" t="s">
        <v>2228</v>
      </c>
      <c r="N267" t="s">
        <v>2229</v>
      </c>
      <c r="O267" t="s">
        <v>2230</v>
      </c>
      <c r="P267" t="s">
        <v>2231</v>
      </c>
      <c r="Q267" s="3" t="d">
        <v>2026-01-10</v>
      </c>
      <c r="R267" t="s">
        <v>41</v>
      </c>
      <c r="S267" t="s">
        <v>2232</v>
      </c>
    </row>
    <row r="268" spans="1:19" x14ac:dyDescent="0.2">
      <c r="A268" t="s">
        <v>2233</v>
      </c>
      <c r="B268" t="s">
        <v>2234</v>
      </c>
      <c r="C268" t="s">
        <v>2235</v>
      </c>
      <c r="D268" t="s">
        <v>22</v>
      </c>
      <c r="E268" t="b">
        <v>0</v>
      </c>
      <c r="F268" t="s">
        <v>26</v>
      </c>
      <c r="G268" t="s">
        <v>2236</v>
      </c>
      <c r="H268" t="s">
        <v>26</v>
      </c>
      <c r="I268" t="s">
        <v>26</v>
      </c>
      <c r="J268" t="s">
        <v>27</v>
      </c>
      <c r="K268" t="s">
        <v>2237</v>
      </c>
      <c r="L268" t="s">
        <v>2238</v>
      </c>
      <c r="M268" t="s">
        <v>26</v>
      </c>
      <c r="N268" t="s">
        <v>2239</v>
      </c>
      <c r="O268" t="s">
        <v>2240</v>
      </c>
      <c r="P268" t="s">
        <v>26</v>
      </c>
      <c r="Q268" s="1" t="d">
        <v>1950-11-01</v>
      </c>
      <c r="R268" t="s">
        <v>2241</v>
      </c>
      <c r="S268" t="s">
        <v>2242</v>
      </c>
    </row>
    <row r="269" spans="1:19" x14ac:dyDescent="0.2">
      <c r="A269" t="s">
        <v>2243</v>
      </c>
      <c r="B269" t="s">
        <v>2243</v>
      </c>
      <c r="C269" t="s">
        <v>2244</v>
      </c>
      <c r="D269" t="s">
        <v>22</v>
      </c>
      <c r="E269" t="b">
        <v>0</v>
      </c>
      <c r="F269" t="s">
        <v>23</v>
      </c>
      <c r="G269" t="s">
        <v>2245</v>
      </c>
      <c r="H269" t="s">
        <v>339</v>
      </c>
      <c r="I269" s="2" t="d">
        <v>2020-04-01</v>
      </c>
      <c r="J269" t="s">
        <v>27</v>
      </c>
      <c r="K269" t="s">
        <v>2246</v>
      </c>
      <c r="L269" t="s">
        <v>2247</v>
      </c>
      <c r="M269" t="s">
        <v>2248</v>
      </c>
      <c r="N269" t="s">
        <v>2249</v>
      </c>
      <c r="O269" t="s">
        <v>2250</v>
      </c>
      <c r="P269" t="s">
        <v>2251</v>
      </c>
      <c r="Q269" s="1" t="d">
        <v>1950-11-01</v>
      </c>
      <c r="R269" t="s">
        <v>41</v>
      </c>
      <c r="S269" t="s">
        <v>2252</v>
      </c>
    </row>
    <row r="270" spans="1:19" x14ac:dyDescent="0.2">
      <c r="A270" t="s">
        <v>2253</v>
      </c>
      <c r="B270" t="s">
        <v>2253</v>
      </c>
      <c r="C270" t="s">
        <v>2254</v>
      </c>
      <c r="D270" t="s">
        <v>22</v>
      </c>
      <c r="E270" t="b">
        <v>0</v>
      </c>
      <c r="F270" t="s">
        <v>23</v>
      </c>
      <c r="G270" t="s">
        <v>2255</v>
      </c>
      <c r="H270" t="s">
        <v>2256</v>
      </c>
      <c r="I270" s="2" t="d">
        <v>2024-03-05</v>
      </c>
      <c r="J270" t="s">
        <v>27</v>
      </c>
      <c r="K270" t="s">
        <v>2257</v>
      </c>
      <c r="L270" t="s">
        <v>2258</v>
      </c>
      <c r="M270" t="s">
        <v>2259</v>
      </c>
      <c r="N270" t="s">
        <v>2260</v>
      </c>
      <c r="O270" t="s">
        <v>2261</v>
      </c>
      <c r="P270" t="s">
        <v>2262</v>
      </c>
      <c r="Q270" s="3" t="d">
        <v>2026-01-10</v>
      </c>
      <c r="R270" t="s">
        <v>2263</v>
      </c>
      <c r="S270" t="s">
        <v>2264</v>
      </c>
    </row>
    <row r="271" spans="1:19" x14ac:dyDescent="0.2">
      <c r="A271" t="s">
        <v>2265</v>
      </c>
      <c r="B271" t="s">
        <v>26</v>
      </c>
      <c r="C271" t="s">
        <v>2266</v>
      </c>
      <c r="D271" t="s">
        <v>26</v>
      </c>
      <c r="E271" t="s">
        <v>26</v>
      </c>
      <c r="F271" t="s">
        <v>26</v>
      </c>
      <c r="G271" t="s">
        <v>2267</v>
      </c>
      <c r="H271" t="s">
        <v>26</v>
      </c>
      <c r="I271" t="s">
        <v>26</v>
      </c>
      <c r="J271" t="s">
        <v>26</v>
      </c>
      <c r="K271" t="s">
        <v>26</v>
      </c>
      <c r="L271" t="s">
        <v>26</v>
      </c>
      <c r="M271" t="s">
        <v>26</v>
      </c>
      <c r="N271" t="s">
        <v>26</v>
      </c>
      <c r="O271" t="s">
        <v>26</v>
      </c>
      <c r="P271" t="s">
        <v>26</v>
      </c>
      <c r="Q271" t="s">
        <v>26</v>
      </c>
      <c r="R271" t="s">
        <v>2268</v>
      </c>
      <c r="S271" t="s">
        <v>2269</v>
      </c>
    </row>
    <row r="272" spans="1:19" x14ac:dyDescent="0.2">
      <c r="A272" t="s">
        <v>2270</v>
      </c>
      <c r="B272" t="s">
        <v>2270</v>
      </c>
      <c r="C272" t="s">
        <v>2271</v>
      </c>
      <c r="D272" t="s">
        <v>22</v>
      </c>
      <c r="E272" t="b">
        <v>0</v>
      </c>
      <c r="F272" t="s">
        <v>23</v>
      </c>
      <c r="G272" t="s">
        <v>2272</v>
      </c>
      <c r="H272" t="s">
        <v>2273</v>
      </c>
      <c r="I272" s="2" t="d">
        <v>2023-01-01</v>
      </c>
      <c r="J272" t="s">
        <v>27</v>
      </c>
      <c r="K272" t="s">
        <v>2274</v>
      </c>
      <c r="L272" t="s">
        <v>2270</v>
      </c>
      <c r="M272" t="s">
        <v>2275</v>
      </c>
      <c r="N272" t="s">
        <v>2276</v>
      </c>
      <c r="O272" t="s">
        <v>26</v>
      </c>
      <c r="P272" t="s">
        <v>26</v>
      </c>
      <c r="Q272" s="1" t="d">
        <v>1950-11-01</v>
      </c>
      <c r="R272" t="s">
        <v>41</v>
      </c>
      <c r="S272" t="s">
        <v>2277</v>
      </c>
    </row>
    <row r="273" spans="1:19" x14ac:dyDescent="0.2">
      <c r="A273" t="s">
        <v>2278</v>
      </c>
      <c r="B273" t="s">
        <v>2279</v>
      </c>
      <c r="C273" t="s">
        <v>2280</v>
      </c>
      <c r="D273" t="s">
        <v>22</v>
      </c>
      <c r="E273" t="b">
        <v>0</v>
      </c>
      <c r="F273" t="s">
        <v>23</v>
      </c>
      <c r="G273" t="s">
        <v>2281</v>
      </c>
      <c r="H273" t="s">
        <v>188</v>
      </c>
      <c r="I273" s="2" t="d">
        <v>2019-01-01</v>
      </c>
      <c r="J273" t="s">
        <v>27</v>
      </c>
      <c r="K273" t="s">
        <v>2282</v>
      </c>
      <c r="L273" t="s">
        <v>2283</v>
      </c>
      <c r="M273" t="s">
        <v>2284</v>
      </c>
      <c r="N273" t="s">
        <v>2285</v>
      </c>
      <c r="O273" t="s">
        <v>2286</v>
      </c>
      <c r="P273" t="s">
        <v>2287</v>
      </c>
      <c r="Q273" t="s">
        <v>113</v>
      </c>
      <c r="R273" t="s">
        <v>41</v>
      </c>
      <c r="S273" t="s">
        <v>2288</v>
      </c>
    </row>
    <row r="274" spans="1:19" x14ac:dyDescent="0.2">
      <c r="A274" t="s">
        <v>2289</v>
      </c>
      <c r="B274" t="s">
        <v>2289</v>
      </c>
      <c r="C274" t="s">
        <v>2290</v>
      </c>
      <c r="D274" t="s">
        <v>22</v>
      </c>
      <c r="E274" t="b">
        <v>0</v>
      </c>
      <c r="F274" t="s">
        <v>23</v>
      </c>
      <c r="G274" t="s">
        <v>2291</v>
      </c>
      <c r="H274" t="s">
        <v>634</v>
      </c>
      <c r="I274" s="2" t="d">
        <v>2015-01-01</v>
      </c>
      <c r="J274" t="s">
        <v>27</v>
      </c>
      <c r="K274" t="s">
        <v>2292</v>
      </c>
      <c r="L274" t="s">
        <v>2293</v>
      </c>
      <c r="M274" t="s">
        <v>2294</v>
      </c>
      <c r="N274" t="s">
        <v>2295</v>
      </c>
      <c r="O274" t="s">
        <v>2296</v>
      </c>
      <c r="P274" t="s">
        <v>26</v>
      </c>
      <c r="Q274" t="s">
        <v>218</v>
      </c>
      <c r="R274" t="s">
        <v>41</v>
      </c>
      <c r="S274" t="s">
        <v>2297</v>
      </c>
    </row>
    <row r="275" spans="1:19" x14ac:dyDescent="0.2">
      <c r="A275" t="s">
        <v>2298</v>
      </c>
      <c r="B275" t="s">
        <v>26</v>
      </c>
      <c r="C275" t="s">
        <v>2299</v>
      </c>
      <c r="D275" t="s">
        <v>26</v>
      </c>
      <c r="E275" t="s">
        <v>26</v>
      </c>
      <c r="F275" t="s">
        <v>26</v>
      </c>
      <c r="G275" t="s">
        <v>2300</v>
      </c>
      <c r="H275" t="s">
        <v>26</v>
      </c>
      <c r="I275" t="s">
        <v>26</v>
      </c>
      <c r="J275" t="s">
        <v>26</v>
      </c>
      <c r="K275" t="s">
        <v>2301</v>
      </c>
      <c r="L275" t="s">
        <v>2298</v>
      </c>
      <c r="M275" t="s">
        <v>26</v>
      </c>
      <c r="N275" t="s">
        <v>26</v>
      </c>
      <c r="O275" t="s">
        <v>26</v>
      </c>
      <c r="P275" t="s">
        <v>26</v>
      </c>
      <c r="Q275" t="s">
        <v>26</v>
      </c>
      <c r="R275" t="s">
        <v>610</v>
      </c>
      <c r="S275" t="s">
        <v>2302</v>
      </c>
    </row>
    <row r="276" spans="1:19" x14ac:dyDescent="0.2">
      <c r="A276" t="s">
        <v>2303</v>
      </c>
      <c r="B276" t="s">
        <v>2303</v>
      </c>
      <c r="C276" t="s">
        <v>2304</v>
      </c>
      <c r="D276" t="s">
        <v>22</v>
      </c>
      <c r="E276" t="b">
        <v>0</v>
      </c>
      <c r="F276" t="s">
        <v>26</v>
      </c>
      <c r="G276" t="s">
        <v>2305</v>
      </c>
      <c r="H276" t="s">
        <v>26</v>
      </c>
      <c r="I276" t="s">
        <v>26</v>
      </c>
      <c r="J276" t="s">
        <v>27</v>
      </c>
      <c r="K276" t="s">
        <v>2306</v>
      </c>
      <c r="L276" t="s">
        <v>2303</v>
      </c>
      <c r="M276" t="s">
        <v>2307</v>
      </c>
      <c r="N276" t="s">
        <v>26</v>
      </c>
      <c r="O276" t="s">
        <v>2308</v>
      </c>
      <c r="P276" t="s">
        <v>26</v>
      </c>
      <c r="Q276" t="s">
        <v>26</v>
      </c>
      <c r="R276" t="s">
        <v>2309</v>
      </c>
      <c r="S276" t="s">
        <v>2310</v>
      </c>
    </row>
    <row r="277" spans="1:19" x14ac:dyDescent="0.2">
      <c r="A277" t="s">
        <v>2311</v>
      </c>
      <c r="B277" t="s">
        <v>2311</v>
      </c>
      <c r="C277" t="s">
        <v>2312</v>
      </c>
      <c r="D277" t="s">
        <v>22</v>
      </c>
      <c r="E277" t="b">
        <v>0</v>
      </c>
      <c r="F277" t="s">
        <v>23</v>
      </c>
      <c r="G277" t="s">
        <v>2313</v>
      </c>
      <c r="H277" t="s">
        <v>737</v>
      </c>
      <c r="I277" t="s">
        <v>26</v>
      </c>
      <c r="J277" t="s">
        <v>27</v>
      </c>
      <c r="K277" t="s">
        <v>2314</v>
      </c>
      <c r="L277" t="s">
        <v>2311</v>
      </c>
      <c r="M277" t="s">
        <v>2315</v>
      </c>
      <c r="N277" t="s">
        <v>26</v>
      </c>
      <c r="O277" t="s">
        <v>2316</v>
      </c>
      <c r="P277" t="s">
        <v>26</v>
      </c>
      <c r="Q277" s="1" t="d">
        <v>1950-11-01</v>
      </c>
      <c r="R277" t="s">
        <v>2317</v>
      </c>
      <c r="S277" t="s">
        <v>2318</v>
      </c>
    </row>
    <row r="278" spans="1:19" x14ac:dyDescent="0.2">
      <c r="A278" t="s">
        <v>2319</v>
      </c>
      <c r="B278" t="s">
        <v>2319</v>
      </c>
      <c r="C278" t="s">
        <v>2320</v>
      </c>
      <c r="D278" t="s">
        <v>22</v>
      </c>
      <c r="E278" t="b">
        <v>0</v>
      </c>
      <c r="F278" t="s">
        <v>23</v>
      </c>
      <c r="G278" t="s">
        <v>2321</v>
      </c>
      <c r="H278" t="s">
        <v>67</v>
      </c>
      <c r="I278" t="s">
        <v>26</v>
      </c>
      <c r="J278" t="s">
        <v>27</v>
      </c>
      <c r="K278" t="s">
        <v>2322</v>
      </c>
      <c r="L278" t="s">
        <v>2323</v>
      </c>
      <c r="M278" t="s">
        <v>2324</v>
      </c>
      <c r="N278" t="s">
        <v>26</v>
      </c>
      <c r="O278" t="s">
        <v>26</v>
      </c>
      <c r="P278" t="s">
        <v>2325</v>
      </c>
      <c r="Q278" s="3" t="d">
        <v>2026-01-10</v>
      </c>
      <c r="R278" t="s">
        <v>2326</v>
      </c>
      <c r="S278" t="s">
        <v>2327</v>
      </c>
    </row>
    <row r="279" spans="1:19" x14ac:dyDescent="0.2">
      <c r="A279" t="s">
        <v>2328</v>
      </c>
      <c r="B279" t="s">
        <v>26</v>
      </c>
      <c r="C279" t="s">
        <v>2329</v>
      </c>
      <c r="D279" t="s">
        <v>26</v>
      </c>
      <c r="E279" t="s">
        <v>26</v>
      </c>
      <c r="F279" t="s">
        <v>26</v>
      </c>
      <c r="G279" t="s">
        <v>2330</v>
      </c>
      <c r="H279" t="s">
        <v>26</v>
      </c>
      <c r="I279" t="s">
        <v>26</v>
      </c>
      <c r="J279" t="s">
        <v>26</v>
      </c>
      <c r="K279" t="s">
        <v>26</v>
      </c>
      <c r="L279" t="s">
        <v>26</v>
      </c>
      <c r="M279" t="s">
        <v>26</v>
      </c>
      <c r="N279" t="s">
        <v>26</v>
      </c>
      <c r="O279" t="s">
        <v>26</v>
      </c>
      <c r="P279" t="s">
        <v>26</v>
      </c>
      <c r="Q279" t="s">
        <v>26</v>
      </c>
      <c r="R279" t="s">
        <v>610</v>
      </c>
      <c r="S279" t="s">
        <v>2331</v>
      </c>
    </row>
    <row r="280" spans="1:19" x14ac:dyDescent="0.2">
      <c r="A280" t="s">
        <v>2332</v>
      </c>
      <c r="B280" t="s">
        <v>26</v>
      </c>
      <c r="C280" t="s">
        <v>2333</v>
      </c>
      <c r="D280" t="s">
        <v>26</v>
      </c>
      <c r="E280" t="s">
        <v>26</v>
      </c>
      <c r="F280" t="s">
        <v>26</v>
      </c>
      <c r="G280" t="s">
        <v>2334</v>
      </c>
      <c r="H280" t="s">
        <v>26</v>
      </c>
      <c r="I280" t="s">
        <v>26</v>
      </c>
      <c r="J280" t="s">
        <v>26</v>
      </c>
      <c r="K280" t="s">
        <v>26</v>
      </c>
      <c r="L280" t="s">
        <v>26</v>
      </c>
      <c r="M280" t="s">
        <v>26</v>
      </c>
      <c r="N280" t="s">
        <v>26</v>
      </c>
      <c r="O280" t="s">
        <v>26</v>
      </c>
      <c r="P280" t="s">
        <v>26</v>
      </c>
      <c r="Q280" t="s">
        <v>26</v>
      </c>
      <c r="R280" t="s">
        <v>610</v>
      </c>
      <c r="S280" t="s">
        <v>2335</v>
      </c>
    </row>
    <row r="281" spans="1:19" x14ac:dyDescent="0.2">
      <c r="A281" t="s">
        <v>2336</v>
      </c>
      <c r="B281" t="s">
        <v>26</v>
      </c>
      <c r="C281" t="s">
        <v>2337</v>
      </c>
      <c r="D281" t="s">
        <v>26</v>
      </c>
      <c r="E281" t="s">
        <v>26</v>
      </c>
      <c r="F281" t="s">
        <v>26</v>
      </c>
      <c r="G281" t="s">
        <v>2338</v>
      </c>
      <c r="H281" t="s">
        <v>26</v>
      </c>
      <c r="I281" t="s">
        <v>26</v>
      </c>
      <c r="J281" t="s">
        <v>26</v>
      </c>
      <c r="K281" t="s">
        <v>26</v>
      </c>
      <c r="L281" t="s">
        <v>26</v>
      </c>
      <c r="M281" t="s">
        <v>26</v>
      </c>
      <c r="N281" t="s">
        <v>26</v>
      </c>
      <c r="O281" t="s">
        <v>26</v>
      </c>
      <c r="P281" t="s">
        <v>26</v>
      </c>
      <c r="Q281" t="s">
        <v>26</v>
      </c>
      <c r="R281" t="s">
        <v>610</v>
      </c>
      <c r="S281" t="s">
        <v>2339</v>
      </c>
    </row>
    <row r="282" spans="1:19" x14ac:dyDescent="0.2">
      <c r="A282" t="s">
        <v>2340</v>
      </c>
      <c r="B282" t="s">
        <v>26</v>
      </c>
      <c r="C282" t="s">
        <v>2341</v>
      </c>
      <c r="D282" t="s">
        <v>26</v>
      </c>
      <c r="E282" t="s">
        <v>26</v>
      </c>
      <c r="F282" t="s">
        <v>26</v>
      </c>
      <c r="G282" t="s">
        <v>2342</v>
      </c>
      <c r="H282" t="s">
        <v>26</v>
      </c>
      <c r="I282" t="s">
        <v>26</v>
      </c>
      <c r="J282" t="s">
        <v>26</v>
      </c>
      <c r="K282" t="s">
        <v>1300</v>
      </c>
      <c r="L282" t="s">
        <v>26</v>
      </c>
      <c r="M282" t="s">
        <v>26</v>
      </c>
      <c r="N282" t="s">
        <v>26</v>
      </c>
      <c r="O282" t="s">
        <v>26</v>
      </c>
      <c r="P282" t="s">
        <v>26</v>
      </c>
      <c r="Q282" t="s">
        <v>26</v>
      </c>
      <c r="R282" t="s">
        <v>610</v>
      </c>
      <c r="S282" t="s">
        <v>2343</v>
      </c>
    </row>
    <row r="283" spans="1:19" x14ac:dyDescent="0.2">
      <c r="A283" t="s">
        <v>2344</v>
      </c>
      <c r="B283" t="s">
        <v>26</v>
      </c>
      <c r="C283" t="s">
        <v>2345</v>
      </c>
      <c r="D283" t="s">
        <v>26</v>
      </c>
      <c r="E283" t="s">
        <v>26</v>
      </c>
      <c r="F283" t="s">
        <v>26</v>
      </c>
      <c r="G283" t="s">
        <v>2346</v>
      </c>
      <c r="H283" t="s">
        <v>26</v>
      </c>
      <c r="I283" t="s">
        <v>26</v>
      </c>
      <c r="J283" t="s">
        <v>26</v>
      </c>
      <c r="K283" t="s">
        <v>2347</v>
      </c>
      <c r="L283" t="s">
        <v>26</v>
      </c>
      <c r="M283" t="s">
        <v>26</v>
      </c>
      <c r="N283" t="s">
        <v>26</v>
      </c>
      <c r="O283" t="s">
        <v>26</v>
      </c>
      <c r="P283" t="s">
        <v>26</v>
      </c>
      <c r="Q283" t="s">
        <v>26</v>
      </c>
      <c r="R283" t="s">
        <v>610</v>
      </c>
      <c r="S283" t="s">
        <v>2348</v>
      </c>
    </row>
    <row r="284" spans="1:19" x14ac:dyDescent="0.2">
      <c r="A284" t="s">
        <v>2349</v>
      </c>
      <c r="B284" t="s">
        <v>2350</v>
      </c>
      <c r="C284" t="s">
        <v>2351</v>
      </c>
      <c r="D284" t="s">
        <v>22</v>
      </c>
      <c r="E284" t="b">
        <v>0</v>
      </c>
      <c r="F284" t="s">
        <v>23</v>
      </c>
      <c r="G284" t="s">
        <v>2352</v>
      </c>
      <c r="H284" t="s">
        <v>339</v>
      </c>
      <c r="I284" t="s">
        <v>26</v>
      </c>
      <c r="J284" t="s">
        <v>27</v>
      </c>
      <c r="K284" t="s">
        <v>2349</v>
      </c>
      <c r="L284" t="s">
        <v>2353</v>
      </c>
      <c r="M284" t="s">
        <v>2354</v>
      </c>
      <c r="N284" t="s">
        <v>2355</v>
      </c>
      <c r="O284" t="s">
        <v>2356</v>
      </c>
      <c r="P284" t="s">
        <v>26</v>
      </c>
      <c r="Q284" t="s">
        <v>218</v>
      </c>
      <c r="R284" t="s">
        <v>41</v>
      </c>
      <c r="S284" t="s">
        <v>2357</v>
      </c>
    </row>
    <row r="285" spans="1:19" x14ac:dyDescent="0.2">
      <c r="A285" t="s">
        <v>2358</v>
      </c>
      <c r="B285" t="s">
        <v>2358</v>
      </c>
      <c r="C285" t="s">
        <v>2359</v>
      </c>
      <c r="D285" t="s">
        <v>22</v>
      </c>
      <c r="E285" t="b">
        <v>0</v>
      </c>
      <c r="F285" t="s">
        <v>23</v>
      </c>
      <c r="G285" t="s">
        <v>2360</v>
      </c>
      <c r="H285" t="s">
        <v>119</v>
      </c>
      <c r="I285" t="s">
        <v>26</v>
      </c>
      <c r="J285" t="s">
        <v>27</v>
      </c>
      <c r="K285" t="s">
        <v>2361</v>
      </c>
      <c r="L285" t="s">
        <v>2358</v>
      </c>
      <c r="M285" t="s">
        <v>2362</v>
      </c>
      <c r="N285" t="s">
        <v>26</v>
      </c>
      <c r="O285" t="s">
        <v>2363</v>
      </c>
      <c r="P285" t="s">
        <v>26</v>
      </c>
      <c r="Q285" s="1" t="d">
        <v>1950-11-01</v>
      </c>
      <c r="R285" t="s">
        <v>2364</v>
      </c>
      <c r="S285" t="s">
        <v>2365</v>
      </c>
    </row>
    <row r="286" spans="1:19" x14ac:dyDescent="0.2">
      <c r="A286" t="s">
        <v>2366</v>
      </c>
      <c r="B286" t="s">
        <v>2366</v>
      </c>
      <c r="C286" t="s">
        <v>2367</v>
      </c>
      <c r="D286" t="s">
        <v>22</v>
      </c>
      <c r="E286" t="b">
        <v>0</v>
      </c>
      <c r="F286" t="s">
        <v>23</v>
      </c>
      <c r="G286" t="s">
        <v>2368</v>
      </c>
      <c r="H286" t="s">
        <v>1546</v>
      </c>
      <c r="I286" s="2" t="d">
        <v>2018-06-12</v>
      </c>
      <c r="J286" t="s">
        <v>27</v>
      </c>
      <c r="K286" t="s">
        <v>2369</v>
      </c>
      <c r="L286" t="s">
        <v>2366</v>
      </c>
      <c r="M286" t="s">
        <v>2370</v>
      </c>
      <c r="N286" t="s">
        <v>2371</v>
      </c>
      <c r="O286" t="s">
        <v>2372</v>
      </c>
      <c r="P286" t="s">
        <v>26</v>
      </c>
      <c r="Q286" t="s">
        <v>621</v>
      </c>
      <c r="R286" t="s">
        <v>41</v>
      </c>
      <c r="S286" t="s">
        <v>2373</v>
      </c>
    </row>
    <row r="287" spans="1:19" x14ac:dyDescent="0.2">
      <c r="A287" t="s">
        <v>2374</v>
      </c>
      <c r="B287" t="s">
        <v>26</v>
      </c>
      <c r="C287" t="s">
        <v>2375</v>
      </c>
      <c r="D287" t="s">
        <v>26</v>
      </c>
      <c r="E287" t="s">
        <v>26</v>
      </c>
      <c r="F287" t="s">
        <v>26</v>
      </c>
      <c r="G287" t="s">
        <v>2376</v>
      </c>
      <c r="H287" t="s">
        <v>26</v>
      </c>
      <c r="I287" t="s">
        <v>26</v>
      </c>
      <c r="J287" t="s">
        <v>26</v>
      </c>
      <c r="K287" t="s">
        <v>26</v>
      </c>
      <c r="L287" t="s">
        <v>26</v>
      </c>
      <c r="M287" t="s">
        <v>26</v>
      </c>
      <c r="N287" t="s">
        <v>26</v>
      </c>
      <c r="O287" t="s">
        <v>26</v>
      </c>
      <c r="P287" t="s">
        <v>26</v>
      </c>
      <c r="Q287" t="s">
        <v>26</v>
      </c>
      <c r="R287" t="s">
        <v>2377</v>
      </c>
      <c r="S287" t="s">
        <v>2378</v>
      </c>
    </row>
    <row r="288" spans="1:19" x14ac:dyDescent="0.2">
      <c r="A288" t="s">
        <v>2379</v>
      </c>
      <c r="B288" t="s">
        <v>26</v>
      </c>
      <c r="C288" t="s">
        <v>2380</v>
      </c>
      <c r="D288" t="s">
        <v>26</v>
      </c>
      <c r="E288" t="s">
        <v>26</v>
      </c>
      <c r="F288" t="s">
        <v>26</v>
      </c>
      <c r="G288" t="s">
        <v>2381</v>
      </c>
      <c r="H288" t="s">
        <v>26</v>
      </c>
      <c r="I288" t="s">
        <v>26</v>
      </c>
      <c r="J288" t="s">
        <v>26</v>
      </c>
      <c r="K288" t="s">
        <v>26</v>
      </c>
      <c r="L288" t="s">
        <v>26</v>
      </c>
      <c r="M288" t="s">
        <v>26</v>
      </c>
      <c r="N288" t="s">
        <v>26</v>
      </c>
      <c r="O288" t="s">
        <v>26</v>
      </c>
      <c r="P288" t="s">
        <v>26</v>
      </c>
      <c r="Q288" t="s">
        <v>26</v>
      </c>
      <c r="R288" t="s">
        <v>2377</v>
      </c>
      <c r="S288" t="s">
        <v>2382</v>
      </c>
    </row>
    <row r="289" spans="1:19" x14ac:dyDescent="0.2">
      <c r="A289" t="s">
        <v>2383</v>
      </c>
      <c r="B289" t="s">
        <v>2383</v>
      </c>
      <c r="C289" t="s">
        <v>2384</v>
      </c>
      <c r="D289" t="s">
        <v>22</v>
      </c>
      <c r="E289" t="b">
        <v>0</v>
      </c>
      <c r="F289" t="s">
        <v>23</v>
      </c>
      <c r="G289" t="s">
        <v>2385</v>
      </c>
      <c r="H289" t="s">
        <v>26</v>
      </c>
      <c r="I289" t="s">
        <v>26</v>
      </c>
      <c r="J289" t="s">
        <v>27</v>
      </c>
      <c r="K289" t="s">
        <v>2386</v>
      </c>
      <c r="L289" t="s">
        <v>26</v>
      </c>
      <c r="M289" t="s">
        <v>26</v>
      </c>
      <c r="N289" t="s">
        <v>2387</v>
      </c>
      <c r="O289" t="s">
        <v>2388</v>
      </c>
      <c r="P289" t="s">
        <v>26</v>
      </c>
      <c r="Q289" s="3" t="d">
        <v>2026-01-10</v>
      </c>
      <c r="R289" t="s">
        <v>837</v>
      </c>
      <c r="S289" t="s">
        <v>2389</v>
      </c>
    </row>
    <row r="290" spans="1:19" x14ac:dyDescent="0.2">
      <c r="A290" t="s">
        <v>2390</v>
      </c>
      <c r="B290" t="s">
        <v>26</v>
      </c>
      <c r="C290" t="s">
        <v>2391</v>
      </c>
      <c r="D290" t="s">
        <v>26</v>
      </c>
      <c r="E290" t="s">
        <v>26</v>
      </c>
      <c r="F290" t="s">
        <v>26</v>
      </c>
      <c r="G290" t="s">
        <v>2392</v>
      </c>
      <c r="H290" t="s">
        <v>26</v>
      </c>
      <c r="I290" t="s">
        <v>26</v>
      </c>
      <c r="J290" t="s">
        <v>26</v>
      </c>
      <c r="K290" t="s">
        <v>26</v>
      </c>
      <c r="L290" t="s">
        <v>26</v>
      </c>
      <c r="M290" t="s">
        <v>26</v>
      </c>
      <c r="N290" t="s">
        <v>26</v>
      </c>
      <c r="O290" t="s">
        <v>26</v>
      </c>
      <c r="P290" t="s">
        <v>26</v>
      </c>
      <c r="Q290" t="s">
        <v>26</v>
      </c>
      <c r="R290" t="s">
        <v>2393</v>
      </c>
      <c r="S290" t="s">
        <v>2394</v>
      </c>
    </row>
    <row r="291" spans="1:19" x14ac:dyDescent="0.2">
      <c r="A291" t="s">
        <v>2395</v>
      </c>
      <c r="B291" t="s">
        <v>26</v>
      </c>
      <c r="C291" t="s">
        <v>2396</v>
      </c>
      <c r="D291" t="s">
        <v>26</v>
      </c>
      <c r="E291" t="s">
        <v>26</v>
      </c>
      <c r="F291" t="s">
        <v>26</v>
      </c>
      <c r="G291" t="s">
        <v>2397</v>
      </c>
      <c r="H291" t="s">
        <v>26</v>
      </c>
      <c r="I291" t="s">
        <v>26</v>
      </c>
      <c r="J291" t="s">
        <v>26</v>
      </c>
      <c r="K291" t="s">
        <v>26</v>
      </c>
      <c r="L291" t="s">
        <v>2395</v>
      </c>
      <c r="M291" t="s">
        <v>26</v>
      </c>
      <c r="N291" t="s">
        <v>26</v>
      </c>
      <c r="O291" t="s">
        <v>26</v>
      </c>
      <c r="P291" t="s">
        <v>26</v>
      </c>
      <c r="Q291" t="s">
        <v>26</v>
      </c>
      <c r="R291" t="s">
        <v>2393</v>
      </c>
      <c r="S291" t="s">
        <v>2398</v>
      </c>
    </row>
    <row r="292" spans="1:19" x14ac:dyDescent="0.2">
      <c r="A292" t="s">
        <v>2399</v>
      </c>
      <c r="B292" t="s">
        <v>26</v>
      </c>
      <c r="C292" t="s">
        <v>2400</v>
      </c>
      <c r="D292" t="s">
        <v>26</v>
      </c>
      <c r="E292" t="s">
        <v>26</v>
      </c>
      <c r="F292" t="s">
        <v>26</v>
      </c>
      <c r="G292" t="s">
        <v>2401</v>
      </c>
      <c r="H292" t="s">
        <v>26</v>
      </c>
      <c r="I292" t="s">
        <v>26</v>
      </c>
      <c r="J292" t="s">
        <v>26</v>
      </c>
      <c r="K292" t="s">
        <v>2402</v>
      </c>
      <c r="L292" t="s">
        <v>2399</v>
      </c>
      <c r="M292" t="s">
        <v>2403</v>
      </c>
      <c r="N292" t="s">
        <v>26</v>
      </c>
      <c r="O292" t="s">
        <v>26</v>
      </c>
      <c r="P292" t="s">
        <v>26</v>
      </c>
      <c r="Q292" t="s">
        <v>26</v>
      </c>
      <c r="R292" t="s">
        <v>2393</v>
      </c>
      <c r="S292" t="s">
        <v>2404</v>
      </c>
    </row>
    <row r="293" spans="1:19" x14ac:dyDescent="0.2">
      <c r="A293" t="s">
        <v>2405</v>
      </c>
      <c r="B293" t="s">
        <v>2406</v>
      </c>
      <c r="C293" t="s">
        <v>2407</v>
      </c>
      <c r="D293" t="s">
        <v>22</v>
      </c>
      <c r="E293" t="b">
        <v>0</v>
      </c>
      <c r="F293" t="s">
        <v>23</v>
      </c>
      <c r="G293" t="s">
        <v>2408</v>
      </c>
      <c r="H293" t="s">
        <v>2409</v>
      </c>
      <c r="I293" t="s">
        <v>26</v>
      </c>
      <c r="J293" t="s">
        <v>27</v>
      </c>
      <c r="K293" t="s">
        <v>2410</v>
      </c>
      <c r="L293" t="s">
        <v>2411</v>
      </c>
      <c r="M293" t="s">
        <v>2412</v>
      </c>
      <c r="N293" t="s">
        <v>2413</v>
      </c>
      <c r="O293" t="s">
        <v>2414</v>
      </c>
      <c r="P293" t="s">
        <v>2415</v>
      </c>
      <c r="Q293" s="3" t="d">
        <v>2026-01-10</v>
      </c>
      <c r="R293" t="s">
        <v>2377</v>
      </c>
      <c r="S293" t="s">
        <v>2416</v>
      </c>
    </row>
    <row r="294" spans="1:19" x14ac:dyDescent="0.2">
      <c r="A294" t="s">
        <v>2417</v>
      </c>
      <c r="B294" t="s">
        <v>26</v>
      </c>
      <c r="C294" t="s">
        <v>2418</v>
      </c>
      <c r="D294" t="s">
        <v>26</v>
      </c>
      <c r="E294" t="s">
        <v>26</v>
      </c>
      <c r="F294" t="s">
        <v>26</v>
      </c>
      <c r="G294" t="s">
        <v>2419</v>
      </c>
      <c r="H294" t="s">
        <v>26</v>
      </c>
      <c r="I294" t="s">
        <v>26</v>
      </c>
      <c r="J294" t="s">
        <v>26</v>
      </c>
      <c r="K294" t="s">
        <v>2420</v>
      </c>
      <c r="L294" t="s">
        <v>26</v>
      </c>
      <c r="M294" t="s">
        <v>2421</v>
      </c>
      <c r="N294" t="s">
        <v>26</v>
      </c>
      <c r="O294" t="s">
        <v>26</v>
      </c>
      <c r="P294" t="s">
        <v>26</v>
      </c>
      <c r="Q294" t="s">
        <v>26</v>
      </c>
      <c r="R294" t="s">
        <v>2377</v>
      </c>
      <c r="S294" t="s">
        <v>2422</v>
      </c>
    </row>
    <row r="295" spans="1:19" x14ac:dyDescent="0.2">
      <c r="A295" t="s">
        <v>2423</v>
      </c>
      <c r="B295" t="s">
        <v>26</v>
      </c>
      <c r="C295" t="s">
        <v>2424</v>
      </c>
      <c r="D295" t="s">
        <v>26</v>
      </c>
      <c r="E295" t="s">
        <v>26</v>
      </c>
      <c r="F295" t="s">
        <v>26</v>
      </c>
      <c r="G295" t="s">
        <v>2425</v>
      </c>
      <c r="H295" t="s">
        <v>26</v>
      </c>
      <c r="I295" t="s">
        <v>26</v>
      </c>
      <c r="J295" t="s">
        <v>26</v>
      </c>
      <c r="K295" t="s">
        <v>2426</v>
      </c>
      <c r="L295" t="s">
        <v>26</v>
      </c>
      <c r="M295" t="s">
        <v>26</v>
      </c>
      <c r="N295" t="s">
        <v>26</v>
      </c>
      <c r="O295" t="s">
        <v>26</v>
      </c>
      <c r="P295" t="s">
        <v>26</v>
      </c>
      <c r="Q295" t="s">
        <v>26</v>
      </c>
      <c r="R295" t="s">
        <v>2377</v>
      </c>
      <c r="S295" t="s">
        <v>2427</v>
      </c>
    </row>
    <row r="296" spans="1:19" x14ac:dyDescent="0.2">
      <c r="A296" t="s">
        <v>2428</v>
      </c>
      <c r="B296" t="s">
        <v>2429</v>
      </c>
      <c r="C296" t="s">
        <v>2430</v>
      </c>
      <c r="D296" t="s">
        <v>22</v>
      </c>
      <c r="E296" t="b">
        <v>0</v>
      </c>
      <c r="F296" t="s">
        <v>26</v>
      </c>
      <c r="G296" t="s">
        <v>2431</v>
      </c>
      <c r="H296" t="s">
        <v>26</v>
      </c>
      <c r="I296" t="s">
        <v>26</v>
      </c>
      <c r="J296" t="s">
        <v>27</v>
      </c>
      <c r="K296" t="s">
        <v>2432</v>
      </c>
      <c r="L296" t="s">
        <v>26</v>
      </c>
      <c r="M296" t="s">
        <v>26</v>
      </c>
      <c r="N296" t="s">
        <v>26</v>
      </c>
      <c r="O296" t="s">
        <v>26</v>
      </c>
      <c r="P296" t="s">
        <v>26</v>
      </c>
      <c r="Q296" t="s">
        <v>26</v>
      </c>
      <c r="R296" t="s">
        <v>2377</v>
      </c>
      <c r="S296" t="s">
        <v>2433</v>
      </c>
    </row>
    <row r="297" spans="1:19" x14ac:dyDescent="0.2">
      <c r="A297" t="s">
        <v>2434</v>
      </c>
      <c r="B297" t="s">
        <v>26</v>
      </c>
      <c r="C297" t="s">
        <v>2435</v>
      </c>
      <c r="D297" t="s">
        <v>26</v>
      </c>
      <c r="E297" t="s">
        <v>26</v>
      </c>
      <c r="F297" t="s">
        <v>26</v>
      </c>
      <c r="G297" t="s">
        <v>2436</v>
      </c>
      <c r="H297" t="s">
        <v>26</v>
      </c>
      <c r="I297" t="s">
        <v>26</v>
      </c>
      <c r="J297" t="s">
        <v>26</v>
      </c>
      <c r="K297" t="s">
        <v>2437</v>
      </c>
      <c r="L297" t="s">
        <v>2434</v>
      </c>
      <c r="M297" t="s">
        <v>2438</v>
      </c>
      <c r="N297" t="s">
        <v>26</v>
      </c>
      <c r="O297" t="s">
        <v>26</v>
      </c>
      <c r="P297" t="s">
        <v>26</v>
      </c>
      <c r="Q297" t="s">
        <v>26</v>
      </c>
      <c r="R297" t="s">
        <v>2439</v>
      </c>
      <c r="S297" t="s">
        <v>2440</v>
      </c>
    </row>
    <row r="298" spans="1:19" x14ac:dyDescent="0.2">
      <c r="A298" t="s">
        <v>2441</v>
      </c>
      <c r="B298" t="s">
        <v>2441</v>
      </c>
      <c r="C298" t="s">
        <v>2442</v>
      </c>
      <c r="D298" t="s">
        <v>22</v>
      </c>
      <c r="E298" t="b">
        <v>0</v>
      </c>
      <c r="F298" t="s">
        <v>23</v>
      </c>
      <c r="G298" t="s">
        <v>2443</v>
      </c>
      <c r="H298" t="s">
        <v>119</v>
      </c>
      <c r="I298" s="2" t="d">
        <v>2020-01-01</v>
      </c>
      <c r="J298" t="s">
        <v>27</v>
      </c>
      <c r="K298" t="s">
        <v>2444</v>
      </c>
      <c r="L298" t="s">
        <v>2445</v>
      </c>
      <c r="M298" t="s">
        <v>2446</v>
      </c>
      <c r="N298" t="s">
        <v>26</v>
      </c>
      <c r="O298" t="s">
        <v>26</v>
      </c>
      <c r="P298" t="s">
        <v>2447</v>
      </c>
      <c r="Q298" s="1" t="d">
        <v>1950-11-01</v>
      </c>
      <c r="R298" t="s">
        <v>2448</v>
      </c>
      <c r="S298" t="s">
        <v>2449</v>
      </c>
    </row>
    <row r="299" spans="1:19" x14ac:dyDescent="0.2">
      <c r="A299" t="s">
        <v>2450</v>
      </c>
      <c r="B299" t="s">
        <v>2450</v>
      </c>
      <c r="C299" t="s">
        <v>2451</v>
      </c>
      <c r="D299" t="s">
        <v>22</v>
      </c>
      <c r="E299" t="b">
        <v>0</v>
      </c>
      <c r="F299" t="s">
        <v>23</v>
      </c>
      <c r="G299" t="s">
        <v>2452</v>
      </c>
      <c r="H299" t="s">
        <v>2453</v>
      </c>
      <c r="I299" s="2" t="d">
        <v>2021-01-01</v>
      </c>
      <c r="J299" t="s">
        <v>27</v>
      </c>
      <c r="K299" t="s">
        <v>2454</v>
      </c>
      <c r="L299" t="s">
        <v>2450</v>
      </c>
      <c r="M299" t="s">
        <v>2455</v>
      </c>
      <c r="N299" t="s">
        <v>26</v>
      </c>
      <c r="O299" t="s">
        <v>2456</v>
      </c>
      <c r="P299" t="s">
        <v>26</v>
      </c>
      <c r="Q299" s="1" t="d">
        <v>1950-11-01</v>
      </c>
      <c r="R299" t="s">
        <v>41</v>
      </c>
      <c r="S299" t="s">
        <v>2457</v>
      </c>
    </row>
    <row r="300" spans="1:19" x14ac:dyDescent="0.2">
      <c r="A300" t="s">
        <v>2458</v>
      </c>
      <c r="B300" t="s">
        <v>2459</v>
      </c>
      <c r="C300" t="s">
        <v>2460</v>
      </c>
      <c r="D300" t="s">
        <v>22</v>
      </c>
      <c r="E300" t="b">
        <v>0</v>
      </c>
      <c r="F300" t="s">
        <v>23</v>
      </c>
      <c r="G300" t="s">
        <v>2461</v>
      </c>
      <c r="H300" t="s">
        <v>757</v>
      </c>
      <c r="I300" t="s">
        <v>26</v>
      </c>
      <c r="J300" t="s">
        <v>27</v>
      </c>
      <c r="K300" t="s">
        <v>2462</v>
      </c>
      <c r="L300" t="s">
        <v>2458</v>
      </c>
      <c r="M300" t="s">
        <v>26</v>
      </c>
      <c r="N300" t="s">
        <v>26</v>
      </c>
      <c r="O300" t="s">
        <v>2463</v>
      </c>
      <c r="P300">
        <v>4012483284</v>
      </c>
      <c r="Q300" s="3" t="d">
        <v>2026-01-10</v>
      </c>
      <c r="R300" t="s">
        <v>2464</v>
      </c>
      <c r="S300" t="s">
        <v>2465</v>
      </c>
    </row>
    <row r="301" spans="1:19" x14ac:dyDescent="0.2">
      <c r="A301" t="s">
        <v>2466</v>
      </c>
      <c r="B301" t="s">
        <v>2467</v>
      </c>
      <c r="C301" t="s">
        <v>2468</v>
      </c>
      <c r="D301" t="s">
        <v>22</v>
      </c>
      <c r="E301" t="b">
        <v>0</v>
      </c>
      <c r="F301" t="s">
        <v>26</v>
      </c>
      <c r="G301" t="s">
        <v>2469</v>
      </c>
      <c r="H301" t="s">
        <v>634</v>
      </c>
      <c r="I301" t="s">
        <v>26</v>
      </c>
      <c r="J301" t="s">
        <v>27</v>
      </c>
      <c r="K301" t="s">
        <v>2470</v>
      </c>
      <c r="L301" t="s">
        <v>2471</v>
      </c>
      <c r="M301" t="s">
        <v>26</v>
      </c>
      <c r="N301" t="s">
        <v>26</v>
      </c>
      <c r="O301" t="s">
        <v>26</v>
      </c>
      <c r="P301" t="s">
        <v>26</v>
      </c>
      <c r="Q301" s="3" t="d">
        <v>2026-01-10</v>
      </c>
      <c r="R301" t="s">
        <v>448</v>
      </c>
      <c r="S301" t="s">
        <v>2472</v>
      </c>
    </row>
    <row r="302" spans="1:19" x14ac:dyDescent="0.2">
      <c r="A302" t="s">
        <v>2473</v>
      </c>
      <c r="B302" t="s">
        <v>2473</v>
      </c>
      <c r="C302" t="s">
        <v>2474</v>
      </c>
      <c r="D302" t="s">
        <v>22</v>
      </c>
      <c r="E302" t="b">
        <v>0</v>
      </c>
      <c r="F302" t="s">
        <v>23</v>
      </c>
      <c r="G302" t="s">
        <v>2475</v>
      </c>
      <c r="H302" t="s">
        <v>691</v>
      </c>
      <c r="I302" t="s">
        <v>26</v>
      </c>
      <c r="J302" t="s">
        <v>27</v>
      </c>
      <c r="K302" t="s">
        <v>2476</v>
      </c>
      <c r="L302" t="s">
        <v>2477</v>
      </c>
      <c r="M302" t="s">
        <v>26</v>
      </c>
      <c r="N302" t="s">
        <v>26</v>
      </c>
      <c r="O302" t="s">
        <v>2478</v>
      </c>
      <c r="P302" t="s">
        <v>26</v>
      </c>
      <c r="Q302" t="s">
        <v>26</v>
      </c>
      <c r="R302" t="s">
        <v>448</v>
      </c>
      <c r="S302" t="s">
        <v>2479</v>
      </c>
    </row>
    <row r="303" spans="1:19" x14ac:dyDescent="0.2">
      <c r="A303" t="s">
        <v>2480</v>
      </c>
      <c r="B303" t="s">
        <v>26</v>
      </c>
      <c r="C303" t="s">
        <v>2481</v>
      </c>
      <c r="D303" t="s">
        <v>26</v>
      </c>
      <c r="E303" t="s">
        <v>26</v>
      </c>
      <c r="F303" t="s">
        <v>26</v>
      </c>
      <c r="G303" t="s">
        <v>2482</v>
      </c>
      <c r="H303" t="s">
        <v>26</v>
      </c>
      <c r="I303" t="s">
        <v>26</v>
      </c>
      <c r="J303" t="s">
        <v>26</v>
      </c>
      <c r="K303" t="s">
        <v>26</v>
      </c>
      <c r="L303" t="s">
        <v>26</v>
      </c>
      <c r="M303" t="s">
        <v>26</v>
      </c>
      <c r="N303" t="s">
        <v>26</v>
      </c>
      <c r="O303" t="s">
        <v>26</v>
      </c>
      <c r="P303" t="s">
        <v>26</v>
      </c>
      <c r="Q303" t="s">
        <v>26</v>
      </c>
      <c r="R303" t="s">
        <v>2483</v>
      </c>
      <c r="S303" t="s">
        <v>2484</v>
      </c>
    </row>
    <row r="304" spans="1:19" x14ac:dyDescent="0.2">
      <c r="A304" t="s">
        <v>2485</v>
      </c>
      <c r="B304" t="s">
        <v>26</v>
      </c>
      <c r="C304" t="s">
        <v>2486</v>
      </c>
      <c r="D304" t="s">
        <v>26</v>
      </c>
      <c r="E304" t="s">
        <v>26</v>
      </c>
      <c r="F304" t="s">
        <v>26</v>
      </c>
      <c r="G304" t="s">
        <v>2487</v>
      </c>
      <c r="H304" t="s">
        <v>26</v>
      </c>
      <c r="I304" t="s">
        <v>26</v>
      </c>
      <c r="J304" t="s">
        <v>26</v>
      </c>
      <c r="K304" t="s">
        <v>2488</v>
      </c>
      <c r="L304" t="s">
        <v>2489</v>
      </c>
      <c r="M304" t="s">
        <v>2490</v>
      </c>
      <c r="N304" t="s">
        <v>26</v>
      </c>
      <c r="O304" t="s">
        <v>26</v>
      </c>
      <c r="P304" t="s">
        <v>26</v>
      </c>
      <c r="Q304" t="s">
        <v>26</v>
      </c>
      <c r="R304" t="s">
        <v>827</v>
      </c>
      <c r="S304" t="s">
        <v>2491</v>
      </c>
    </row>
    <row r="305" spans="1:19" x14ac:dyDescent="0.2">
      <c r="A305" t="s">
        <v>2492</v>
      </c>
      <c r="B305" t="s">
        <v>26</v>
      </c>
      <c r="C305" t="s">
        <v>2493</v>
      </c>
      <c r="D305" t="s">
        <v>26</v>
      </c>
      <c r="E305" t="s">
        <v>26</v>
      </c>
      <c r="F305" t="s">
        <v>26</v>
      </c>
      <c r="G305" t="s">
        <v>2494</v>
      </c>
      <c r="H305" t="s">
        <v>26</v>
      </c>
      <c r="I305" t="s">
        <v>26</v>
      </c>
      <c r="J305" t="s">
        <v>26</v>
      </c>
      <c r="K305" t="s">
        <v>2495</v>
      </c>
      <c r="L305" t="s">
        <v>2492</v>
      </c>
      <c r="M305" t="s">
        <v>26</v>
      </c>
      <c r="N305" t="s">
        <v>26</v>
      </c>
      <c r="O305" t="s">
        <v>26</v>
      </c>
      <c r="P305" t="s">
        <v>26</v>
      </c>
      <c r="Q305" t="s">
        <v>26</v>
      </c>
      <c r="R305" t="s">
        <v>827</v>
      </c>
      <c r="S305" t="s">
        <v>2496</v>
      </c>
    </row>
    <row r="306" spans="1:19" x14ac:dyDescent="0.2">
      <c r="A306" t="s">
        <v>2497</v>
      </c>
      <c r="B306" t="s">
        <v>26</v>
      </c>
      <c r="C306" t="s">
        <v>2498</v>
      </c>
      <c r="D306" t="s">
        <v>26</v>
      </c>
      <c r="E306" t="s">
        <v>26</v>
      </c>
      <c r="F306" t="s">
        <v>26</v>
      </c>
      <c r="G306" t="s">
        <v>2499</v>
      </c>
      <c r="H306" t="s">
        <v>26</v>
      </c>
      <c r="I306" t="s">
        <v>26</v>
      </c>
      <c r="J306" t="s">
        <v>26</v>
      </c>
      <c r="K306" t="s">
        <v>2500</v>
      </c>
      <c r="L306" t="s">
        <v>2501</v>
      </c>
      <c r="M306" t="s">
        <v>26</v>
      </c>
      <c r="N306" t="s">
        <v>26</v>
      </c>
      <c r="O306" t="s">
        <v>26</v>
      </c>
      <c r="P306" t="s">
        <v>26</v>
      </c>
      <c r="Q306" t="s">
        <v>26</v>
      </c>
      <c r="R306" t="s">
        <v>827</v>
      </c>
      <c r="S306" t="s">
        <v>2502</v>
      </c>
    </row>
    <row r="307" spans="1:19" x14ac:dyDescent="0.2">
      <c r="A307" t="s">
        <v>2503</v>
      </c>
      <c r="B307" t="s">
        <v>2504</v>
      </c>
      <c r="C307" t="s">
        <v>2505</v>
      </c>
      <c r="D307" t="s">
        <v>22</v>
      </c>
      <c r="E307" t="b">
        <v>0</v>
      </c>
      <c r="F307" t="s">
        <v>23</v>
      </c>
      <c r="G307" t="s">
        <v>2506</v>
      </c>
      <c r="H307" t="s">
        <v>634</v>
      </c>
      <c r="I307" s="2" t="d">
        <v>2022-06-01</v>
      </c>
      <c r="J307" t="s">
        <v>27</v>
      </c>
      <c r="K307" t="s">
        <v>2507</v>
      </c>
      <c r="L307" t="s">
        <v>2503</v>
      </c>
      <c r="M307" t="s">
        <v>2508</v>
      </c>
      <c r="N307" t="s">
        <v>26</v>
      </c>
      <c r="O307" t="s">
        <v>26</v>
      </c>
      <c r="P307" t="s">
        <v>26</v>
      </c>
      <c r="Q307" t="s">
        <v>54</v>
      </c>
      <c r="R307" t="s">
        <v>41</v>
      </c>
      <c r="S307" t="s">
        <v>2509</v>
      </c>
    </row>
    <row r="308" spans="1:19" x14ac:dyDescent="0.2">
      <c r="A308" t="s">
        <v>2510</v>
      </c>
      <c r="B308" t="s">
        <v>2510</v>
      </c>
      <c r="C308" t="s">
        <v>2511</v>
      </c>
      <c r="D308" t="s">
        <v>22</v>
      </c>
      <c r="E308" t="b">
        <v>0</v>
      </c>
      <c r="F308" t="s">
        <v>23</v>
      </c>
      <c r="G308" t="s">
        <v>2512</v>
      </c>
      <c r="H308" t="s">
        <v>1063</v>
      </c>
      <c r="I308" t="s">
        <v>26</v>
      </c>
      <c r="J308" t="s">
        <v>27</v>
      </c>
      <c r="K308" t="s">
        <v>2513</v>
      </c>
      <c r="L308" t="s">
        <v>2510</v>
      </c>
      <c r="M308" t="s">
        <v>2514</v>
      </c>
      <c r="N308" t="s">
        <v>26</v>
      </c>
      <c r="O308" t="s">
        <v>2515</v>
      </c>
      <c r="P308" t="s">
        <v>26</v>
      </c>
      <c r="Q308" s="1" t="d">
        <v>1950-11-01</v>
      </c>
      <c r="R308" t="s">
        <v>2516</v>
      </c>
      <c r="S308" t="s">
        <v>2517</v>
      </c>
    </row>
    <row r="309" spans="1:19" x14ac:dyDescent="0.2">
      <c r="A309" t="s">
        <v>2518</v>
      </c>
      <c r="B309" t="s">
        <v>2519</v>
      </c>
      <c r="C309" t="s">
        <v>2520</v>
      </c>
      <c r="D309" t="s">
        <v>22</v>
      </c>
      <c r="E309" t="b">
        <v>0</v>
      </c>
      <c r="F309" t="s">
        <v>23</v>
      </c>
      <c r="G309" t="s">
        <v>2521</v>
      </c>
      <c r="H309" t="s">
        <v>2522</v>
      </c>
      <c r="I309" s="2" t="d">
        <v>2020-01-01</v>
      </c>
      <c r="J309" t="s">
        <v>27</v>
      </c>
      <c r="K309" t="s">
        <v>2523</v>
      </c>
      <c r="L309" t="s">
        <v>2524</v>
      </c>
      <c r="M309" t="s">
        <v>2525</v>
      </c>
      <c r="N309" t="s">
        <v>2526</v>
      </c>
      <c r="O309" t="s">
        <v>2527</v>
      </c>
      <c r="P309" t="s">
        <v>26</v>
      </c>
      <c r="Q309" t="s">
        <v>54</v>
      </c>
      <c r="R309" t="s">
        <v>41</v>
      </c>
      <c r="S309" t="s">
        <v>2528</v>
      </c>
    </row>
    <row r="310" spans="1:19" x14ac:dyDescent="0.2">
      <c r="A310" t="s">
        <v>2529</v>
      </c>
      <c r="B310" t="s">
        <v>2530</v>
      </c>
      <c r="C310" t="s">
        <v>2531</v>
      </c>
      <c r="D310" t="s">
        <v>22</v>
      </c>
      <c r="E310" t="b">
        <v>0</v>
      </c>
      <c r="F310" t="s">
        <v>23</v>
      </c>
      <c r="G310" t="s">
        <v>2532</v>
      </c>
      <c r="H310" t="s">
        <v>1064</v>
      </c>
      <c r="I310" t="s">
        <v>26</v>
      </c>
      <c r="J310" t="s">
        <v>27</v>
      </c>
      <c r="K310" t="s">
        <v>2533</v>
      </c>
      <c r="L310" t="s">
        <v>2534</v>
      </c>
      <c r="M310" t="s">
        <v>26</v>
      </c>
      <c r="N310" t="s">
        <v>2535</v>
      </c>
      <c r="O310" t="s">
        <v>2536</v>
      </c>
      <c r="P310" t="s">
        <v>2537</v>
      </c>
      <c r="Q310" t="s">
        <v>40</v>
      </c>
      <c r="R310" t="s">
        <v>2538</v>
      </c>
      <c r="S310" t="s">
        <v>2539</v>
      </c>
    </row>
    <row r="311" spans="1:19" x14ac:dyDescent="0.2">
      <c r="A311" t="s">
        <v>2540</v>
      </c>
      <c r="B311" t="s">
        <v>2540</v>
      </c>
      <c r="C311" t="s">
        <v>2541</v>
      </c>
      <c r="D311" t="s">
        <v>22</v>
      </c>
      <c r="E311" t="b">
        <v>0</v>
      </c>
      <c r="F311" t="s">
        <v>23</v>
      </c>
      <c r="G311" t="s">
        <v>2542</v>
      </c>
      <c r="H311" t="s">
        <v>2543</v>
      </c>
      <c r="I311" s="2" t="d">
        <v>2017-01-01</v>
      </c>
      <c r="J311" t="s">
        <v>27</v>
      </c>
      <c r="K311" t="s">
        <v>2544</v>
      </c>
      <c r="L311" t="s">
        <v>2540</v>
      </c>
      <c r="M311" t="s">
        <v>2545</v>
      </c>
      <c r="N311" t="s">
        <v>26</v>
      </c>
      <c r="O311" t="s">
        <v>2546</v>
      </c>
      <c r="P311" t="s">
        <v>26</v>
      </c>
      <c r="Q311" t="s">
        <v>40</v>
      </c>
      <c r="R311" t="s">
        <v>41</v>
      </c>
      <c r="S311" t="s">
        <v>2547</v>
      </c>
    </row>
    <row r="312" spans="1:19" x14ac:dyDescent="0.2">
      <c r="A312" t="s">
        <v>2548</v>
      </c>
      <c r="B312" t="s">
        <v>2549</v>
      </c>
      <c r="C312" t="s">
        <v>2550</v>
      </c>
      <c r="D312" t="s">
        <v>22</v>
      </c>
      <c r="E312" t="b">
        <v>0</v>
      </c>
      <c r="F312" t="s">
        <v>23</v>
      </c>
      <c r="G312" t="s">
        <v>2551</v>
      </c>
      <c r="H312" t="s">
        <v>67</v>
      </c>
      <c r="I312" t="s">
        <v>26</v>
      </c>
      <c r="J312" t="s">
        <v>27</v>
      </c>
      <c r="K312" t="s">
        <v>2552</v>
      </c>
      <c r="L312" t="s">
        <v>2553</v>
      </c>
      <c r="M312" t="s">
        <v>2554</v>
      </c>
      <c r="N312" t="s">
        <v>26</v>
      </c>
      <c r="O312" t="s">
        <v>2555</v>
      </c>
      <c r="P312" t="s">
        <v>26</v>
      </c>
      <c r="Q312" s="3" t="d">
        <v>2026-01-10</v>
      </c>
      <c r="R312" t="s">
        <v>725</v>
      </c>
      <c r="S312" t="s">
        <v>2556</v>
      </c>
    </row>
    <row r="313" spans="1:19" x14ac:dyDescent="0.2">
      <c r="A313" t="s">
        <v>2557</v>
      </c>
      <c r="B313" t="s">
        <v>26</v>
      </c>
      <c r="C313" t="s">
        <v>2558</v>
      </c>
      <c r="D313" t="s">
        <v>26</v>
      </c>
      <c r="E313" t="s">
        <v>26</v>
      </c>
      <c r="F313" t="s">
        <v>26</v>
      </c>
      <c r="G313" t="s">
        <v>2559</v>
      </c>
      <c r="H313" t="s">
        <v>26</v>
      </c>
      <c r="I313" t="s">
        <v>26</v>
      </c>
      <c r="J313" t="s">
        <v>26</v>
      </c>
      <c r="K313" t="s">
        <v>2560</v>
      </c>
      <c r="L313" t="s">
        <v>2557</v>
      </c>
      <c r="M313" t="s">
        <v>2561</v>
      </c>
      <c r="N313" t="s">
        <v>26</v>
      </c>
      <c r="O313" t="s">
        <v>26</v>
      </c>
      <c r="P313" t="s">
        <v>26</v>
      </c>
      <c r="Q313" t="s">
        <v>26</v>
      </c>
      <c r="R313" t="s">
        <v>2562</v>
      </c>
      <c r="S313" t="s">
        <v>2563</v>
      </c>
    </row>
    <row r="314" spans="1:19" x14ac:dyDescent="0.2">
      <c r="A314" t="s">
        <v>2564</v>
      </c>
      <c r="B314" t="s">
        <v>2565</v>
      </c>
      <c r="C314" t="s">
        <v>2566</v>
      </c>
      <c r="D314" t="s">
        <v>22</v>
      </c>
      <c r="E314" t="b">
        <v>0</v>
      </c>
      <c r="F314" t="s">
        <v>23</v>
      </c>
      <c r="G314" t="s">
        <v>2567</v>
      </c>
      <c r="H314" t="s">
        <v>956</v>
      </c>
      <c r="I314" s="2" t="d">
        <v>2021-01-01</v>
      </c>
      <c r="J314" t="s">
        <v>27</v>
      </c>
      <c r="K314" t="s">
        <v>2568</v>
      </c>
      <c r="L314" t="s">
        <v>2565</v>
      </c>
      <c r="M314" t="s">
        <v>2569</v>
      </c>
      <c r="N314" t="s">
        <v>26</v>
      </c>
      <c r="O314" t="s">
        <v>2570</v>
      </c>
      <c r="P314" t="s">
        <v>26</v>
      </c>
      <c r="Q314" s="1" t="d">
        <v>1950-11-01</v>
      </c>
      <c r="R314" t="s">
        <v>41</v>
      </c>
      <c r="S314" t="s">
        <v>2571</v>
      </c>
    </row>
    <row r="315" spans="1:19" x14ac:dyDescent="0.2">
      <c r="A315" t="s">
        <v>2572</v>
      </c>
      <c r="B315" t="s">
        <v>26</v>
      </c>
      <c r="C315" t="s">
        <v>2573</v>
      </c>
      <c r="D315" t="s">
        <v>26</v>
      </c>
      <c r="E315" t="s">
        <v>26</v>
      </c>
      <c r="F315" t="s">
        <v>26</v>
      </c>
      <c r="G315" t="s">
        <v>2574</v>
      </c>
      <c r="H315" t="s">
        <v>26</v>
      </c>
      <c r="I315" t="s">
        <v>26</v>
      </c>
      <c r="J315" t="s">
        <v>26</v>
      </c>
      <c r="K315" t="s">
        <v>2575</v>
      </c>
      <c r="L315" t="s">
        <v>2572</v>
      </c>
      <c r="M315" t="s">
        <v>26</v>
      </c>
      <c r="N315" t="s">
        <v>26</v>
      </c>
      <c r="O315" t="s">
        <v>26</v>
      </c>
      <c r="P315" t="s">
        <v>26</v>
      </c>
      <c r="Q315" t="s">
        <v>26</v>
      </c>
      <c r="R315" t="s">
        <v>1797</v>
      </c>
      <c r="S315" t="s">
        <v>2576</v>
      </c>
    </row>
    <row r="316" spans="1:19" x14ac:dyDescent="0.2">
      <c r="A316" t="s">
        <v>2577</v>
      </c>
      <c r="B316" t="s">
        <v>2577</v>
      </c>
      <c r="C316" t="s">
        <v>2578</v>
      </c>
      <c r="D316" t="s">
        <v>22</v>
      </c>
      <c r="E316" t="b">
        <v>0</v>
      </c>
      <c r="F316" t="s">
        <v>23</v>
      </c>
      <c r="G316" t="s">
        <v>2579</v>
      </c>
      <c r="H316" t="s">
        <v>26</v>
      </c>
      <c r="I316" t="s">
        <v>26</v>
      </c>
      <c r="J316" t="s">
        <v>27</v>
      </c>
      <c r="K316" t="s">
        <v>2580</v>
      </c>
      <c r="L316" t="s">
        <v>2581</v>
      </c>
      <c r="M316" t="s">
        <v>2582</v>
      </c>
      <c r="N316" t="s">
        <v>2583</v>
      </c>
      <c r="O316" t="s">
        <v>2584</v>
      </c>
      <c r="P316" t="s">
        <v>26</v>
      </c>
      <c r="Q316" s="3" t="d">
        <v>2026-01-10</v>
      </c>
      <c r="R316" t="s">
        <v>2585</v>
      </c>
      <c r="S316" t="s">
        <v>2586</v>
      </c>
    </row>
    <row r="317" spans="1:19" x14ac:dyDescent="0.2">
      <c r="A317" t="s">
        <v>2587</v>
      </c>
      <c r="B317" t="s">
        <v>2587</v>
      </c>
      <c r="C317" t="s">
        <v>2588</v>
      </c>
      <c r="D317" t="s">
        <v>22</v>
      </c>
      <c r="E317" t="b">
        <v>0</v>
      </c>
      <c r="F317" t="s">
        <v>23</v>
      </c>
      <c r="G317" t="s">
        <v>2589</v>
      </c>
      <c r="H317" t="s">
        <v>737</v>
      </c>
      <c r="I317" t="s">
        <v>26</v>
      </c>
      <c r="J317" t="s">
        <v>27</v>
      </c>
      <c r="K317" t="s">
        <v>2590</v>
      </c>
      <c r="L317" t="s">
        <v>2591</v>
      </c>
      <c r="M317" t="s">
        <v>2592</v>
      </c>
      <c r="N317" t="s">
        <v>26</v>
      </c>
      <c r="O317" t="s">
        <v>26</v>
      </c>
      <c r="P317" t="s">
        <v>26</v>
      </c>
      <c r="Q317" s="1" t="d">
        <v>1950-11-01</v>
      </c>
      <c r="R317" t="s">
        <v>2593</v>
      </c>
      <c r="S317" t="s">
        <v>2594</v>
      </c>
    </row>
    <row r="318" spans="1:19" x14ac:dyDescent="0.2">
      <c r="A318" t="s">
        <v>2595</v>
      </c>
      <c r="B318" t="s">
        <v>2596</v>
      </c>
      <c r="C318" t="s">
        <v>2597</v>
      </c>
      <c r="D318" t="s">
        <v>22</v>
      </c>
      <c r="E318" t="b">
        <v>0</v>
      </c>
      <c r="F318" t="s">
        <v>23</v>
      </c>
      <c r="G318" t="s">
        <v>2598</v>
      </c>
      <c r="H318" t="s">
        <v>2599</v>
      </c>
      <c r="I318" t="s">
        <v>26</v>
      </c>
      <c r="J318" t="s">
        <v>27</v>
      </c>
      <c r="K318" t="s">
        <v>2600</v>
      </c>
      <c r="L318" t="s">
        <v>2601</v>
      </c>
      <c r="M318" t="s">
        <v>26</v>
      </c>
      <c r="N318" t="s">
        <v>26</v>
      </c>
      <c r="O318" t="s">
        <v>2602</v>
      </c>
      <c r="P318" t="s">
        <v>26</v>
      </c>
      <c r="Q318" s="1" t="d">
        <v>1950-11-01</v>
      </c>
      <c r="R318" t="s">
        <v>1070</v>
      </c>
      <c r="S318" t="s">
        <v>2603</v>
      </c>
    </row>
    <row r="319" spans="1:19" x14ac:dyDescent="0.2">
      <c r="A319" t="s">
        <v>2604</v>
      </c>
      <c r="B319" t="s">
        <v>2604</v>
      </c>
      <c r="C319" t="s">
        <v>2605</v>
      </c>
      <c r="D319" t="s">
        <v>22</v>
      </c>
      <c r="E319" t="b">
        <v>0</v>
      </c>
      <c r="F319" t="s">
        <v>23</v>
      </c>
      <c r="G319" t="s">
        <v>2606</v>
      </c>
      <c r="H319" t="s">
        <v>2607</v>
      </c>
      <c r="I319" s="2" t="d">
        <v>2001-01-04</v>
      </c>
      <c r="J319" t="s">
        <v>27</v>
      </c>
      <c r="K319" t="s">
        <v>2608</v>
      </c>
      <c r="L319" t="s">
        <v>2604</v>
      </c>
      <c r="M319" t="s">
        <v>2609</v>
      </c>
      <c r="N319" t="s">
        <v>2610</v>
      </c>
      <c r="O319" t="s">
        <v>2611</v>
      </c>
      <c r="P319">
        <v>351213304300</v>
      </c>
      <c r="Q319" t="s">
        <v>218</v>
      </c>
      <c r="R319" t="s">
        <v>41</v>
      </c>
      <c r="S319" t="s">
        <v>2612</v>
      </c>
    </row>
    <row r="320" spans="1:19" x14ac:dyDescent="0.2">
      <c r="A320" t="s">
        <v>2613</v>
      </c>
      <c r="B320" t="s">
        <v>2614</v>
      </c>
      <c r="C320" t="s">
        <v>2615</v>
      </c>
      <c r="D320" t="s">
        <v>22</v>
      </c>
      <c r="E320" t="b">
        <v>0</v>
      </c>
      <c r="F320" t="s">
        <v>23</v>
      </c>
      <c r="G320" t="s">
        <v>2616</v>
      </c>
      <c r="H320" t="s">
        <v>2617</v>
      </c>
      <c r="I320" t="s">
        <v>26</v>
      </c>
      <c r="J320" t="s">
        <v>27</v>
      </c>
      <c r="K320" t="s">
        <v>2618</v>
      </c>
      <c r="L320" t="s">
        <v>2619</v>
      </c>
      <c r="M320" t="s">
        <v>2620</v>
      </c>
      <c r="N320" t="s">
        <v>2621</v>
      </c>
      <c r="O320" t="s">
        <v>2622</v>
      </c>
      <c r="P320" t="s">
        <v>2623</v>
      </c>
      <c r="Q320" t="s">
        <v>54</v>
      </c>
      <c r="R320" t="s">
        <v>2624</v>
      </c>
      <c r="S320" t="s">
        <v>2625</v>
      </c>
    </row>
    <row r="321" spans="1:19" x14ac:dyDescent="0.2">
      <c r="A321" t="s">
        <v>2626</v>
      </c>
      <c r="B321" t="s">
        <v>2627</v>
      </c>
      <c r="C321" t="s">
        <v>2628</v>
      </c>
      <c r="D321" t="s">
        <v>22</v>
      </c>
      <c r="E321" t="b">
        <v>0</v>
      </c>
      <c r="F321" t="s">
        <v>23</v>
      </c>
      <c r="G321" t="s">
        <v>2629</v>
      </c>
      <c r="H321" t="s">
        <v>67</v>
      </c>
      <c r="I321" s="2" t="d">
        <v>2019-04-01</v>
      </c>
      <c r="J321" t="s">
        <v>27</v>
      </c>
      <c r="K321" t="s">
        <v>2630</v>
      </c>
      <c r="L321" t="s">
        <v>2631</v>
      </c>
      <c r="M321" t="s">
        <v>2632</v>
      </c>
      <c r="N321" t="s">
        <v>2633</v>
      </c>
      <c r="O321" t="s">
        <v>2634</v>
      </c>
      <c r="P321" t="s">
        <v>26</v>
      </c>
      <c r="Q321" s="1" t="d">
        <v>1950-11-01</v>
      </c>
      <c r="R321" t="s">
        <v>41</v>
      </c>
      <c r="S321" t="s">
        <v>2635</v>
      </c>
    </row>
    <row r="322" spans="1:19" x14ac:dyDescent="0.2">
      <c r="A322" t="s">
        <v>2636</v>
      </c>
      <c r="B322" t="s">
        <v>2636</v>
      </c>
      <c r="C322" t="s">
        <v>2636</v>
      </c>
      <c r="D322" t="s">
        <v>22</v>
      </c>
      <c r="E322" t="b">
        <v>0</v>
      </c>
      <c r="F322" t="s">
        <v>23</v>
      </c>
      <c r="G322" t="s">
        <v>2637</v>
      </c>
      <c r="H322" t="s">
        <v>2638</v>
      </c>
      <c r="I322" s="2" t="d">
        <v>2021-01-01</v>
      </c>
      <c r="J322" t="s">
        <v>27</v>
      </c>
      <c r="K322" t="s">
        <v>2639</v>
      </c>
      <c r="L322" t="s">
        <v>2636</v>
      </c>
      <c r="M322" t="s">
        <v>2640</v>
      </c>
      <c r="N322" t="s">
        <v>2641</v>
      </c>
      <c r="O322" t="s">
        <v>2642</v>
      </c>
      <c r="P322" t="s">
        <v>26</v>
      </c>
      <c r="Q322" s="1" t="d">
        <v>1950-11-01</v>
      </c>
      <c r="R322" t="s">
        <v>41</v>
      </c>
      <c r="S322" t="s">
        <v>2643</v>
      </c>
    </row>
    <row r="323" spans="1:19" x14ac:dyDescent="0.2">
      <c r="A323" t="s">
        <v>2644</v>
      </c>
      <c r="B323" t="s">
        <v>2645</v>
      </c>
      <c r="C323" t="s">
        <v>2646</v>
      </c>
      <c r="D323" t="s">
        <v>22</v>
      </c>
      <c r="E323" t="b">
        <v>0</v>
      </c>
      <c r="F323" t="s">
        <v>23</v>
      </c>
      <c r="G323" t="s">
        <v>2647</v>
      </c>
      <c r="H323" t="s">
        <v>2648</v>
      </c>
      <c r="I323" t="s">
        <v>26</v>
      </c>
      <c r="J323" t="s">
        <v>27</v>
      </c>
      <c r="K323" t="s">
        <v>2649</v>
      </c>
      <c r="L323" t="s">
        <v>2644</v>
      </c>
      <c r="M323" t="s">
        <v>2650</v>
      </c>
      <c r="N323" t="s">
        <v>26</v>
      </c>
      <c r="O323" t="s">
        <v>2651</v>
      </c>
      <c r="P323" t="s">
        <v>26</v>
      </c>
      <c r="Q323" s="1" t="d">
        <v>1950-11-01</v>
      </c>
      <c r="R323" t="s">
        <v>448</v>
      </c>
      <c r="S323" t="s">
        <v>2652</v>
      </c>
    </row>
    <row r="324" spans="1:19" x14ac:dyDescent="0.2">
      <c r="A324" t="s">
        <v>2653</v>
      </c>
      <c r="B324" t="s">
        <v>2654</v>
      </c>
      <c r="C324" t="s">
        <v>2655</v>
      </c>
      <c r="D324" t="s">
        <v>22</v>
      </c>
      <c r="E324" t="b">
        <v>0</v>
      </c>
      <c r="F324" t="s">
        <v>23</v>
      </c>
      <c r="G324" t="s">
        <v>2656</v>
      </c>
      <c r="H324" t="s">
        <v>634</v>
      </c>
      <c r="I324" t="s">
        <v>26</v>
      </c>
      <c r="J324" t="s">
        <v>27</v>
      </c>
      <c r="K324" t="s">
        <v>2657</v>
      </c>
      <c r="L324" t="s">
        <v>2658</v>
      </c>
      <c r="M324" t="s">
        <v>2659</v>
      </c>
      <c r="N324" t="s">
        <v>26</v>
      </c>
      <c r="O324" t="s">
        <v>2660</v>
      </c>
      <c r="P324" t="s">
        <v>26</v>
      </c>
      <c r="Q324" s="1" t="d">
        <v>1950-11-01</v>
      </c>
      <c r="R324" t="s">
        <v>2661</v>
      </c>
      <c r="S324" t="s">
        <v>2662</v>
      </c>
    </row>
    <row r="325" spans="1:19" x14ac:dyDescent="0.2">
      <c r="A325" t="s">
        <v>2663</v>
      </c>
      <c r="B325" t="s">
        <v>2664</v>
      </c>
      <c r="C325" t="s">
        <v>2665</v>
      </c>
      <c r="D325" t="s">
        <v>22</v>
      </c>
      <c r="E325" t="b">
        <v>0</v>
      </c>
      <c r="F325" t="s">
        <v>23</v>
      </c>
      <c r="G325" t="s">
        <v>2666</v>
      </c>
      <c r="H325" t="s">
        <v>2667</v>
      </c>
      <c r="I325" t="s">
        <v>26</v>
      </c>
      <c r="J325" t="s">
        <v>27</v>
      </c>
      <c r="K325" t="s">
        <v>2668</v>
      </c>
      <c r="L325" t="s">
        <v>2669</v>
      </c>
      <c r="M325" t="s">
        <v>26</v>
      </c>
      <c r="N325" t="s">
        <v>26</v>
      </c>
      <c r="O325" t="s">
        <v>2670</v>
      </c>
      <c r="P325" t="s">
        <v>2671</v>
      </c>
      <c r="Q325" s="1" t="d">
        <v>1950-11-01</v>
      </c>
      <c r="R325" t="s">
        <v>448</v>
      </c>
      <c r="S325" t="s">
        <v>2672</v>
      </c>
    </row>
    <row r="326" spans="1:19" x14ac:dyDescent="0.2">
      <c r="A326" t="s">
        <v>2673</v>
      </c>
      <c r="B326" t="s">
        <v>2673</v>
      </c>
      <c r="C326" t="s">
        <v>2674</v>
      </c>
      <c r="D326" t="s">
        <v>22</v>
      </c>
      <c r="E326" t="b">
        <v>0</v>
      </c>
      <c r="F326" t="s">
        <v>23</v>
      </c>
      <c r="G326" t="s">
        <v>2675</v>
      </c>
      <c r="H326" t="s">
        <v>634</v>
      </c>
      <c r="I326" s="2" t="d">
        <v>2020-01-28</v>
      </c>
      <c r="J326" t="s">
        <v>27</v>
      </c>
      <c r="K326" t="s">
        <v>2676</v>
      </c>
      <c r="L326" t="s">
        <v>2673</v>
      </c>
      <c r="M326" t="s">
        <v>2677</v>
      </c>
      <c r="N326" t="s">
        <v>2678</v>
      </c>
      <c r="O326" t="s">
        <v>2679</v>
      </c>
      <c r="P326" t="s">
        <v>26</v>
      </c>
      <c r="Q326" s="1" t="d">
        <v>1950-11-01</v>
      </c>
      <c r="R326" t="s">
        <v>41</v>
      </c>
      <c r="S326" t="s">
        <v>2680</v>
      </c>
    </row>
    <row r="327" spans="1:19" x14ac:dyDescent="0.2">
      <c r="A327" t="s">
        <v>2681</v>
      </c>
      <c r="B327" t="s">
        <v>2681</v>
      </c>
      <c r="C327" t="s">
        <v>2682</v>
      </c>
      <c r="D327" t="s">
        <v>22</v>
      </c>
      <c r="E327" t="b">
        <v>0</v>
      </c>
      <c r="F327" t="s">
        <v>23</v>
      </c>
      <c r="G327" t="s">
        <v>2683</v>
      </c>
      <c r="H327" t="s">
        <v>2684</v>
      </c>
      <c r="I327" s="2" t="d">
        <v>2023-01-01</v>
      </c>
      <c r="J327" t="s">
        <v>27</v>
      </c>
      <c r="K327" t="s">
        <v>2685</v>
      </c>
      <c r="L327" t="s">
        <v>2681</v>
      </c>
      <c r="M327" t="s">
        <v>2686</v>
      </c>
      <c r="N327" t="s">
        <v>2687</v>
      </c>
      <c r="O327" t="s">
        <v>26</v>
      </c>
      <c r="P327" t="s">
        <v>26</v>
      </c>
      <c r="Q327" s="1" t="d">
        <v>1950-11-01</v>
      </c>
      <c r="R327" t="s">
        <v>41</v>
      </c>
      <c r="S327" t="s">
        <v>2688</v>
      </c>
    </row>
    <row r="328" spans="1:19" x14ac:dyDescent="0.2">
      <c r="A328" t="s">
        <v>2689</v>
      </c>
      <c r="B328" t="s">
        <v>2689</v>
      </c>
      <c r="C328" t="s">
        <v>2690</v>
      </c>
      <c r="D328" t="s">
        <v>22</v>
      </c>
      <c r="E328" t="b">
        <v>0</v>
      </c>
      <c r="F328" t="s">
        <v>23</v>
      </c>
      <c r="G328" t="s">
        <v>2691</v>
      </c>
      <c r="H328" t="s">
        <v>2692</v>
      </c>
      <c r="I328" s="2" t="d">
        <v>2016-01-01</v>
      </c>
      <c r="J328" t="s">
        <v>27</v>
      </c>
      <c r="K328" t="s">
        <v>2693</v>
      </c>
      <c r="L328" t="s">
        <v>2689</v>
      </c>
      <c r="M328" t="s">
        <v>2694</v>
      </c>
      <c r="N328" t="s">
        <v>2695</v>
      </c>
      <c r="O328" t="s">
        <v>2696</v>
      </c>
      <c r="P328" t="s">
        <v>2697</v>
      </c>
      <c r="Q328" s="1" t="d">
        <v>1950-11-01</v>
      </c>
      <c r="R328" t="s">
        <v>41</v>
      </c>
      <c r="S328" t="s">
        <v>2698</v>
      </c>
    </row>
    <row r="329" spans="1:19" x14ac:dyDescent="0.2">
      <c r="A329" t="s">
        <v>2699</v>
      </c>
      <c r="B329" t="s">
        <v>2699</v>
      </c>
      <c r="C329" t="s">
        <v>2700</v>
      </c>
      <c r="D329" t="s">
        <v>22</v>
      </c>
      <c r="E329" t="b">
        <v>0</v>
      </c>
      <c r="F329" t="s">
        <v>23</v>
      </c>
      <c r="G329" t="s">
        <v>2701</v>
      </c>
      <c r="H329" t="s">
        <v>325</v>
      </c>
      <c r="I329" t="s">
        <v>26</v>
      </c>
      <c r="J329" t="s">
        <v>27</v>
      </c>
      <c r="K329" t="s">
        <v>2702</v>
      </c>
      <c r="L329" t="s">
        <v>2703</v>
      </c>
      <c r="M329" t="s">
        <v>2704</v>
      </c>
      <c r="N329" t="s">
        <v>2705</v>
      </c>
      <c r="O329" t="s">
        <v>2706</v>
      </c>
      <c r="P329" t="s">
        <v>26</v>
      </c>
      <c r="Q329" s="1" t="d">
        <v>1950-11-01</v>
      </c>
      <c r="R329" t="s">
        <v>41</v>
      </c>
      <c r="S329" t="s">
        <v>2707</v>
      </c>
    </row>
    <row r="330" spans="1:19" x14ac:dyDescent="0.2">
      <c r="A330" t="s">
        <v>2708</v>
      </c>
      <c r="B330" t="s">
        <v>2709</v>
      </c>
      <c r="C330" t="s">
        <v>2710</v>
      </c>
      <c r="D330" t="s">
        <v>22</v>
      </c>
      <c r="E330" t="b">
        <v>0</v>
      </c>
      <c r="F330" t="s">
        <v>23</v>
      </c>
      <c r="G330" t="s">
        <v>2711</v>
      </c>
      <c r="H330" t="s">
        <v>486</v>
      </c>
      <c r="I330" t="s">
        <v>26</v>
      </c>
      <c r="J330" t="s">
        <v>27</v>
      </c>
      <c r="K330" t="s">
        <v>2712</v>
      </c>
      <c r="L330" t="s">
        <v>2713</v>
      </c>
      <c r="M330" t="s">
        <v>2714</v>
      </c>
      <c r="N330" t="s">
        <v>2715</v>
      </c>
      <c r="O330" t="s">
        <v>26</v>
      </c>
      <c r="P330" t="s">
        <v>26</v>
      </c>
      <c r="Q330" t="s">
        <v>40</v>
      </c>
      <c r="R330" t="s">
        <v>431</v>
      </c>
      <c r="S330" t="s">
        <v>2716</v>
      </c>
    </row>
    <row r="331" spans="1:19" x14ac:dyDescent="0.2">
      <c r="A331" t="s">
        <v>2717</v>
      </c>
      <c r="B331" t="s">
        <v>2717</v>
      </c>
      <c r="C331" t="s">
        <v>2718</v>
      </c>
      <c r="D331" t="s">
        <v>22</v>
      </c>
      <c r="E331" t="b">
        <v>0</v>
      </c>
      <c r="F331" t="s">
        <v>23</v>
      </c>
      <c r="G331" t="s">
        <v>2719</v>
      </c>
      <c r="H331" t="s">
        <v>2720</v>
      </c>
      <c r="I331" s="2" t="d">
        <v>2023-06-02</v>
      </c>
      <c r="J331" t="s">
        <v>27</v>
      </c>
      <c r="K331" t="s">
        <v>2721</v>
      </c>
      <c r="L331" t="s">
        <v>2722</v>
      </c>
      <c r="M331" t="s">
        <v>2723</v>
      </c>
      <c r="N331" t="s">
        <v>2724</v>
      </c>
      <c r="O331" t="s">
        <v>2725</v>
      </c>
      <c r="P331" t="s">
        <v>26</v>
      </c>
      <c r="Q331" s="1" t="d">
        <v>1950-11-01</v>
      </c>
      <c r="R331" t="s">
        <v>41</v>
      </c>
      <c r="S331" t="s">
        <v>2726</v>
      </c>
    </row>
    <row r="332" spans="1:19" x14ac:dyDescent="0.2">
      <c r="A332" t="s">
        <v>2727</v>
      </c>
      <c r="B332" t="s">
        <v>2727</v>
      </c>
      <c r="C332" t="s">
        <v>2728</v>
      </c>
      <c r="D332" t="s">
        <v>22</v>
      </c>
      <c r="E332" t="b">
        <v>0</v>
      </c>
      <c r="F332" t="s">
        <v>23</v>
      </c>
      <c r="G332" t="s">
        <v>2729</v>
      </c>
      <c r="H332" t="s">
        <v>2730</v>
      </c>
      <c r="I332" t="s">
        <v>26</v>
      </c>
      <c r="J332" t="s">
        <v>27</v>
      </c>
      <c r="K332" t="s">
        <v>2731</v>
      </c>
      <c r="L332" t="s">
        <v>2732</v>
      </c>
      <c r="M332" t="s">
        <v>2733</v>
      </c>
      <c r="N332" t="s">
        <v>26</v>
      </c>
      <c r="O332" t="s">
        <v>2734</v>
      </c>
      <c r="P332" t="s">
        <v>2735</v>
      </c>
      <c r="Q332" s="3" t="d">
        <v>2026-01-10</v>
      </c>
      <c r="R332" t="s">
        <v>448</v>
      </c>
      <c r="S332" t="s">
        <v>2736</v>
      </c>
    </row>
    <row r="333" spans="1:19" x14ac:dyDescent="0.2">
      <c r="A333" t="s">
        <v>2737</v>
      </c>
      <c r="B333" t="s">
        <v>26</v>
      </c>
      <c r="C333" t="s">
        <v>2738</v>
      </c>
      <c r="D333" t="s">
        <v>26</v>
      </c>
      <c r="E333" t="s">
        <v>26</v>
      </c>
      <c r="F333" t="s">
        <v>26</v>
      </c>
      <c r="G333" t="s">
        <v>2739</v>
      </c>
      <c r="H333" t="s">
        <v>26</v>
      </c>
      <c r="I333" t="s">
        <v>26</v>
      </c>
      <c r="J333" t="s">
        <v>26</v>
      </c>
      <c r="K333" t="s">
        <v>2740</v>
      </c>
      <c r="L333" t="s">
        <v>2741</v>
      </c>
      <c r="M333" t="s">
        <v>2742</v>
      </c>
      <c r="N333" t="s">
        <v>26</v>
      </c>
      <c r="O333" t="s">
        <v>26</v>
      </c>
      <c r="P333" t="s">
        <v>26</v>
      </c>
      <c r="Q333" t="s">
        <v>26</v>
      </c>
      <c r="R333" t="s">
        <v>1072</v>
      </c>
      <c r="S333" t="s">
        <v>2743</v>
      </c>
    </row>
    <row r="334" spans="1:19" x14ac:dyDescent="0.2">
      <c r="A334" t="s">
        <v>2759</v>
      </c>
      <c r="B334" t="s">
        <v>2760</v>
      </c>
      <c r="C334" t="s">
        <v>2761</v>
      </c>
      <c r="D334" t="s">
        <v>22</v>
      </c>
      <c r="E334" t="b">
        <v>0</v>
      </c>
      <c r="F334" t="s">
        <v>23</v>
      </c>
      <c r="G334" t="s">
        <v>2762</v>
      </c>
      <c r="H334" t="s">
        <v>615</v>
      </c>
      <c r="I334" t="s">
        <v>26</v>
      </c>
      <c r="J334" t="s">
        <v>27</v>
      </c>
      <c r="K334" t="s">
        <v>26</v>
      </c>
      <c r="L334" t="s">
        <v>2759</v>
      </c>
      <c r="M334" t="s">
        <v>26</v>
      </c>
      <c r="N334" t="s">
        <v>26</v>
      </c>
      <c r="O334" t="s">
        <v>2763</v>
      </c>
      <c r="P334" t="s">
        <v>26</v>
      </c>
      <c r="Q334" s="3" t="d">
        <v>2026-01-10</v>
      </c>
      <c r="R334" t="s">
        <v>2764</v>
      </c>
      <c r="S334" t="s">
        <v>2765</v>
      </c>
    </row>
    <row r="335" spans="1:19" x14ac:dyDescent="0.2">
      <c r="A335" t="s">
        <v>2766</v>
      </c>
      <c r="B335" t="s">
        <v>26</v>
      </c>
      <c r="C335" t="s">
        <v>2767</v>
      </c>
      <c r="D335" t="s">
        <v>26</v>
      </c>
      <c r="E335" t="s">
        <v>26</v>
      </c>
      <c r="F335" t="s">
        <v>26</v>
      </c>
      <c r="G335" t="s">
        <v>2768</v>
      </c>
      <c r="H335" t="s">
        <v>26</v>
      </c>
      <c r="I335" t="s">
        <v>26</v>
      </c>
      <c r="J335" t="s">
        <v>26</v>
      </c>
      <c r="K335" t="s">
        <v>2769</v>
      </c>
      <c r="L335" t="s">
        <v>2770</v>
      </c>
      <c r="M335" t="s">
        <v>2771</v>
      </c>
      <c r="N335" t="s">
        <v>26</v>
      </c>
      <c r="O335" t="s">
        <v>26</v>
      </c>
      <c r="P335" t="s">
        <v>26</v>
      </c>
      <c r="Q335" t="s">
        <v>26</v>
      </c>
      <c r="R335" t="s">
        <v>2772</v>
      </c>
      <c r="S335" t="s">
        <v>2773</v>
      </c>
    </row>
    <row r="336" spans="1:19" x14ac:dyDescent="0.2">
      <c r="A336" t="s">
        <v>2774</v>
      </c>
      <c r="B336" t="s">
        <v>2774</v>
      </c>
      <c r="C336" t="s">
        <v>2775</v>
      </c>
      <c r="D336" t="s">
        <v>22</v>
      </c>
      <c r="E336" t="b">
        <v>0</v>
      </c>
      <c r="F336" t="s">
        <v>23</v>
      </c>
      <c r="G336" t="s">
        <v>2776</v>
      </c>
      <c r="H336" t="s">
        <v>2777</v>
      </c>
      <c r="I336" s="2" t="d">
        <v>2024-01-01</v>
      </c>
      <c r="J336" t="s">
        <v>27</v>
      </c>
      <c r="K336" t="s">
        <v>2778</v>
      </c>
      <c r="L336" t="s">
        <v>2774</v>
      </c>
      <c r="M336" t="s">
        <v>2779</v>
      </c>
      <c r="N336" t="s">
        <v>26</v>
      </c>
      <c r="O336" t="s">
        <v>2780</v>
      </c>
      <c r="P336" t="s">
        <v>2781</v>
      </c>
      <c r="Q336" s="3" t="d">
        <v>2026-01-10</v>
      </c>
      <c r="R336" t="s">
        <v>837</v>
      </c>
      <c r="S336" t="s">
        <v>2782</v>
      </c>
    </row>
    <row r="337" spans="1:19" x14ac:dyDescent="0.2">
      <c r="A337" t="s">
        <v>2783</v>
      </c>
      <c r="B337" t="s">
        <v>2783</v>
      </c>
      <c r="C337" t="s">
        <v>2784</v>
      </c>
      <c r="D337" t="s">
        <v>22</v>
      </c>
      <c r="E337" t="b">
        <v>0</v>
      </c>
      <c r="F337" t="s">
        <v>23</v>
      </c>
      <c r="G337" t="s">
        <v>2785</v>
      </c>
      <c r="H337" t="s">
        <v>1063</v>
      </c>
      <c r="I337" s="2" t="d">
        <v>2020-01-01</v>
      </c>
      <c r="J337" t="s">
        <v>27</v>
      </c>
      <c r="K337" t="s">
        <v>2786</v>
      </c>
      <c r="L337" t="s">
        <v>2783</v>
      </c>
      <c r="M337" t="s">
        <v>2787</v>
      </c>
      <c r="N337" t="s">
        <v>2788</v>
      </c>
      <c r="O337" t="s">
        <v>2789</v>
      </c>
      <c r="P337" t="s">
        <v>26</v>
      </c>
      <c r="Q337" t="s">
        <v>54</v>
      </c>
      <c r="R337" t="s">
        <v>41</v>
      </c>
      <c r="S337" t="s">
        <v>2790</v>
      </c>
    </row>
    <row r="338" spans="1:19" x14ac:dyDescent="0.2">
      <c r="A338" t="s">
        <v>2791</v>
      </c>
      <c r="B338" t="s">
        <v>2792</v>
      </c>
      <c r="C338" t="s">
        <v>2793</v>
      </c>
      <c r="D338" t="s">
        <v>22</v>
      </c>
      <c r="E338" t="b">
        <v>0</v>
      </c>
      <c r="F338" t="s">
        <v>23</v>
      </c>
      <c r="G338" t="s">
        <v>2794</v>
      </c>
      <c r="H338" t="s">
        <v>2754</v>
      </c>
      <c r="I338" t="s">
        <v>26</v>
      </c>
      <c r="J338" t="s">
        <v>27</v>
      </c>
      <c r="K338" t="s">
        <v>2795</v>
      </c>
      <c r="L338" t="s">
        <v>2796</v>
      </c>
      <c r="M338" t="s">
        <v>26</v>
      </c>
      <c r="N338" t="s">
        <v>2797</v>
      </c>
      <c r="O338" t="s">
        <v>2798</v>
      </c>
      <c r="P338" t="s">
        <v>26</v>
      </c>
      <c r="Q338" s="1" t="d">
        <v>1950-11-01</v>
      </c>
      <c r="R338" t="s">
        <v>1079</v>
      </c>
      <c r="S338" t="s">
        <v>2799</v>
      </c>
    </row>
    <row r="339" spans="1:19" x14ac:dyDescent="0.2">
      <c r="A339" t="s">
        <v>2800</v>
      </c>
      <c r="B339" t="s">
        <v>2801</v>
      </c>
      <c r="C339" t="s">
        <v>2802</v>
      </c>
      <c r="D339" t="s">
        <v>22</v>
      </c>
      <c r="E339" t="b">
        <v>0</v>
      </c>
      <c r="F339" t="s">
        <v>23</v>
      </c>
      <c r="G339" t="s">
        <v>2803</v>
      </c>
      <c r="H339" t="s">
        <v>634</v>
      </c>
      <c r="I339" t="s">
        <v>26</v>
      </c>
      <c r="J339" t="s">
        <v>27</v>
      </c>
      <c r="K339" t="s">
        <v>2804</v>
      </c>
      <c r="L339" t="s">
        <v>2805</v>
      </c>
      <c r="M339" t="s">
        <v>2806</v>
      </c>
      <c r="N339" t="s">
        <v>26</v>
      </c>
      <c r="O339" t="s">
        <v>2807</v>
      </c>
      <c r="P339" t="s">
        <v>26</v>
      </c>
      <c r="Q339" s="3" t="d">
        <v>2026-01-10</v>
      </c>
      <c r="R339" t="s">
        <v>2309</v>
      </c>
      <c r="S339" t="s">
        <v>2808</v>
      </c>
    </row>
    <row r="340" spans="1:19" x14ac:dyDescent="0.2">
      <c r="A340" t="s">
        <v>2809</v>
      </c>
      <c r="B340" t="s">
        <v>2809</v>
      </c>
      <c r="C340" t="s">
        <v>2810</v>
      </c>
      <c r="D340" t="s">
        <v>22</v>
      </c>
      <c r="E340" t="b">
        <v>0</v>
      </c>
      <c r="F340" t="s">
        <v>23</v>
      </c>
      <c r="G340" t="s">
        <v>2811</v>
      </c>
      <c r="H340" t="s">
        <v>2638</v>
      </c>
      <c r="I340" t="s">
        <v>26</v>
      </c>
      <c r="J340" t="s">
        <v>27</v>
      </c>
      <c r="K340" t="s">
        <v>2810</v>
      </c>
      <c r="L340" t="s">
        <v>2809</v>
      </c>
      <c r="M340" t="s">
        <v>26</v>
      </c>
      <c r="N340" t="s">
        <v>26</v>
      </c>
      <c r="O340" t="s">
        <v>2812</v>
      </c>
      <c r="P340" t="s">
        <v>2813</v>
      </c>
      <c r="Q340" t="s">
        <v>40</v>
      </c>
      <c r="R340" t="s">
        <v>2309</v>
      </c>
      <c r="S340" t="s">
        <v>2814</v>
      </c>
    </row>
    <row r="341" spans="1:19" x14ac:dyDescent="0.2">
      <c r="A341" t="s">
        <v>2815</v>
      </c>
      <c r="B341" t="s">
        <v>2815</v>
      </c>
      <c r="C341" t="s">
        <v>2816</v>
      </c>
      <c r="D341" t="s">
        <v>22</v>
      </c>
      <c r="E341" t="b">
        <v>0</v>
      </c>
      <c r="F341" t="s">
        <v>23</v>
      </c>
      <c r="G341" t="s">
        <v>2817</v>
      </c>
      <c r="H341" t="s">
        <v>137</v>
      </c>
      <c r="I341" s="2" t="d">
        <v>2022-01-01</v>
      </c>
      <c r="J341" t="s">
        <v>27</v>
      </c>
      <c r="K341" t="s">
        <v>2818</v>
      </c>
      <c r="L341" t="s">
        <v>2815</v>
      </c>
      <c r="M341" t="s">
        <v>2819</v>
      </c>
      <c r="N341" t="s">
        <v>26</v>
      </c>
      <c r="O341" t="s">
        <v>26</v>
      </c>
      <c r="P341" t="s">
        <v>26</v>
      </c>
      <c r="Q341" s="1" t="d">
        <v>1950-11-01</v>
      </c>
      <c r="R341" t="s">
        <v>41</v>
      </c>
      <c r="S341" t="s">
        <v>2820</v>
      </c>
    </row>
    <row r="342" spans="1:19" x14ac:dyDescent="0.2">
      <c r="A342" t="s">
        <v>2821</v>
      </c>
      <c r="B342" t="s">
        <v>2822</v>
      </c>
      <c r="C342" t="s">
        <v>2823</v>
      </c>
      <c r="D342" t="s">
        <v>22</v>
      </c>
      <c r="E342" t="b">
        <v>0</v>
      </c>
      <c r="F342" t="s">
        <v>23</v>
      </c>
      <c r="G342" t="s">
        <v>2824</v>
      </c>
      <c r="H342" t="s">
        <v>634</v>
      </c>
      <c r="I342" t="s">
        <v>26</v>
      </c>
      <c r="J342" t="s">
        <v>27</v>
      </c>
      <c r="K342" t="s">
        <v>2825</v>
      </c>
      <c r="L342" t="s">
        <v>2826</v>
      </c>
      <c r="M342" t="s">
        <v>2827</v>
      </c>
      <c r="N342" t="s">
        <v>2828</v>
      </c>
      <c r="O342" t="s">
        <v>2829</v>
      </c>
      <c r="P342" t="s">
        <v>26</v>
      </c>
      <c r="Q342" t="s">
        <v>54</v>
      </c>
      <c r="R342" t="s">
        <v>2830</v>
      </c>
      <c r="S342" t="s">
        <v>2831</v>
      </c>
    </row>
    <row r="343" spans="1:19" x14ac:dyDescent="0.2">
      <c r="A343" t="s">
        <v>2832</v>
      </c>
      <c r="B343" t="s">
        <v>2832</v>
      </c>
      <c r="C343" t="s">
        <v>2833</v>
      </c>
      <c r="D343" t="s">
        <v>22</v>
      </c>
      <c r="E343" t="b">
        <v>0</v>
      </c>
      <c r="F343" t="s">
        <v>23</v>
      </c>
      <c r="G343" t="s">
        <v>2834</v>
      </c>
      <c r="H343" t="s">
        <v>2835</v>
      </c>
      <c r="I343" t="s">
        <v>26</v>
      </c>
      <c r="J343" t="s">
        <v>27</v>
      </c>
      <c r="K343" t="s">
        <v>2836</v>
      </c>
      <c r="L343" t="s">
        <v>2837</v>
      </c>
      <c r="M343" t="s">
        <v>2838</v>
      </c>
      <c r="N343" t="s">
        <v>26</v>
      </c>
      <c r="O343" t="s">
        <v>2839</v>
      </c>
      <c r="P343" t="s">
        <v>2840</v>
      </c>
      <c r="Q343" s="3" t="d">
        <v>2026-01-10</v>
      </c>
      <c r="R343" t="s">
        <v>1070</v>
      </c>
      <c r="S343" t="s">
        <v>2841</v>
      </c>
    </row>
    <row r="344" spans="1:19" x14ac:dyDescent="0.2">
      <c r="A344" t="s">
        <v>2842</v>
      </c>
      <c r="B344" t="s">
        <v>26</v>
      </c>
      <c r="C344" t="s">
        <v>2843</v>
      </c>
      <c r="D344" t="s">
        <v>26</v>
      </c>
      <c r="E344" t="s">
        <v>26</v>
      </c>
      <c r="F344" t="s">
        <v>26</v>
      </c>
      <c r="G344" t="s">
        <v>2844</v>
      </c>
      <c r="H344" t="s">
        <v>26</v>
      </c>
      <c r="I344" t="s">
        <v>26</v>
      </c>
      <c r="J344" t="s">
        <v>26</v>
      </c>
      <c r="K344" t="s">
        <v>2845</v>
      </c>
      <c r="L344" t="s">
        <v>2846</v>
      </c>
      <c r="M344" t="s">
        <v>2847</v>
      </c>
      <c r="N344" t="s">
        <v>26</v>
      </c>
      <c r="O344" t="s">
        <v>26</v>
      </c>
      <c r="P344" t="s">
        <v>26</v>
      </c>
      <c r="Q344" t="s">
        <v>26</v>
      </c>
      <c r="R344" t="s">
        <v>2848</v>
      </c>
      <c r="S344" t="s">
        <v>2849</v>
      </c>
    </row>
    <row r="345" spans="1:19" x14ac:dyDescent="0.2">
      <c r="A345" t="s">
        <v>2850</v>
      </c>
      <c r="B345" t="s">
        <v>26</v>
      </c>
      <c r="C345" t="s">
        <v>2851</v>
      </c>
      <c r="D345" t="s">
        <v>26</v>
      </c>
      <c r="E345" t="s">
        <v>26</v>
      </c>
      <c r="F345" t="s">
        <v>26</v>
      </c>
      <c r="G345" t="s">
        <v>2852</v>
      </c>
      <c r="H345" t="s">
        <v>26</v>
      </c>
      <c r="I345" t="s">
        <v>26</v>
      </c>
      <c r="J345" t="s">
        <v>26</v>
      </c>
      <c r="K345" t="s">
        <v>2853</v>
      </c>
      <c r="L345" t="s">
        <v>2854</v>
      </c>
      <c r="M345" t="s">
        <v>2855</v>
      </c>
      <c r="N345" t="s">
        <v>26</v>
      </c>
      <c r="O345" t="s">
        <v>26</v>
      </c>
      <c r="P345" t="s">
        <v>26</v>
      </c>
      <c r="Q345" t="s">
        <v>26</v>
      </c>
      <c r="R345" t="s">
        <v>2856</v>
      </c>
      <c r="S345" t="s">
        <v>2857</v>
      </c>
    </row>
    <row r="346" spans="1:19" x14ac:dyDescent="0.2">
      <c r="A346" t="s">
        <v>2858</v>
      </c>
      <c r="B346" t="s">
        <v>26</v>
      </c>
      <c r="C346" t="s">
        <v>2859</v>
      </c>
      <c r="D346" t="s">
        <v>26</v>
      </c>
      <c r="E346" t="s">
        <v>26</v>
      </c>
      <c r="F346" t="s">
        <v>26</v>
      </c>
      <c r="G346" t="s">
        <v>2860</v>
      </c>
      <c r="H346" t="s">
        <v>26</v>
      </c>
      <c r="I346" t="s">
        <v>26</v>
      </c>
      <c r="J346" t="s">
        <v>26</v>
      </c>
      <c r="K346" t="s">
        <v>2861</v>
      </c>
      <c r="L346" t="s">
        <v>2858</v>
      </c>
      <c r="M346" t="s">
        <v>2862</v>
      </c>
      <c r="N346" t="s">
        <v>26</v>
      </c>
      <c r="O346" t="s">
        <v>26</v>
      </c>
      <c r="P346" t="s">
        <v>26</v>
      </c>
      <c r="Q346" t="s">
        <v>26</v>
      </c>
      <c r="R346" t="s">
        <v>2863</v>
      </c>
      <c r="S346" t="s">
        <v>2864</v>
      </c>
    </row>
    <row r="347" spans="1:19" x14ac:dyDescent="0.2">
      <c r="A347" t="s">
        <v>2865</v>
      </c>
      <c r="B347" t="s">
        <v>2866</v>
      </c>
      <c r="C347" t="s">
        <v>2867</v>
      </c>
      <c r="D347" t="s">
        <v>22</v>
      </c>
      <c r="E347" t="b">
        <v>0</v>
      </c>
      <c r="F347" t="s">
        <v>23</v>
      </c>
      <c r="G347" t="s">
        <v>2868</v>
      </c>
      <c r="H347" t="s">
        <v>188</v>
      </c>
      <c r="I347" s="2" t="d">
        <v>2019-01-01</v>
      </c>
      <c r="J347" t="s">
        <v>27</v>
      </c>
      <c r="K347" t="s">
        <v>2865</v>
      </c>
      <c r="L347" t="s">
        <v>2869</v>
      </c>
      <c r="M347" t="s">
        <v>2870</v>
      </c>
      <c r="N347" t="s">
        <v>2871</v>
      </c>
      <c r="O347" t="s">
        <v>2872</v>
      </c>
      <c r="P347" t="s">
        <v>2873</v>
      </c>
      <c r="Q347" t="s">
        <v>40</v>
      </c>
      <c r="R347" t="s">
        <v>41</v>
      </c>
      <c r="S347" t="s">
        <v>2874</v>
      </c>
    </row>
    <row r="348" spans="1:19" x14ac:dyDescent="0.2">
      <c r="A348" t="s">
        <v>2875</v>
      </c>
      <c r="B348" t="s">
        <v>2876</v>
      </c>
      <c r="C348" t="s">
        <v>2877</v>
      </c>
      <c r="D348" t="s">
        <v>22</v>
      </c>
      <c r="E348" t="b">
        <v>1</v>
      </c>
      <c r="F348" t="s">
        <v>23</v>
      </c>
      <c r="G348" t="s">
        <v>2878</v>
      </c>
      <c r="H348" t="s">
        <v>2879</v>
      </c>
      <c r="I348" t="s">
        <v>26</v>
      </c>
      <c r="J348" t="s">
        <v>27</v>
      </c>
      <c r="K348" t="s">
        <v>2880</v>
      </c>
      <c r="L348" t="s">
        <v>2881</v>
      </c>
      <c r="M348" t="s">
        <v>2882</v>
      </c>
      <c r="N348" t="s">
        <v>26</v>
      </c>
      <c r="O348" t="s">
        <v>2883</v>
      </c>
      <c r="P348">
        <f>9718-87-8362</f>
        <v>1269</v>
      </c>
      <c r="Q348" t="s">
        <v>40</v>
      </c>
      <c r="R348" t="s">
        <v>2884</v>
      </c>
      <c r="S348" t="s">
        <v>2885</v>
      </c>
    </row>
    <row r="349" spans="1:19" x14ac:dyDescent="0.2">
      <c r="A349" t="s">
        <v>2886</v>
      </c>
      <c r="B349" t="s">
        <v>26</v>
      </c>
      <c r="C349" t="s">
        <v>2887</v>
      </c>
      <c r="D349" t="s">
        <v>26</v>
      </c>
      <c r="E349" t="s">
        <v>26</v>
      </c>
      <c r="F349" t="s">
        <v>26</v>
      </c>
      <c r="G349" t="s">
        <v>2888</v>
      </c>
      <c r="H349" t="s">
        <v>26</v>
      </c>
      <c r="I349" t="s">
        <v>26</v>
      </c>
      <c r="J349" t="s">
        <v>26</v>
      </c>
      <c r="K349" t="s">
        <v>2889</v>
      </c>
      <c r="L349" t="s">
        <v>2886</v>
      </c>
      <c r="M349" t="s">
        <v>26</v>
      </c>
      <c r="N349" t="s">
        <v>26</v>
      </c>
      <c r="O349" t="s">
        <v>26</v>
      </c>
      <c r="P349" t="s">
        <v>26</v>
      </c>
      <c r="Q349" t="s">
        <v>26</v>
      </c>
      <c r="R349" t="s">
        <v>580</v>
      </c>
      <c r="S349" t="s">
        <v>2890</v>
      </c>
    </row>
    <row r="350" spans="1:19" x14ac:dyDescent="0.2">
      <c r="A350" t="s">
        <v>2891</v>
      </c>
      <c r="B350" t="s">
        <v>2891</v>
      </c>
      <c r="C350" t="s">
        <v>2892</v>
      </c>
      <c r="D350" t="s">
        <v>22</v>
      </c>
      <c r="E350" t="b">
        <v>0</v>
      </c>
      <c r="F350" t="s">
        <v>23</v>
      </c>
      <c r="G350" t="s">
        <v>2893</v>
      </c>
      <c r="H350" t="s">
        <v>2894</v>
      </c>
      <c r="I350" t="s">
        <v>26</v>
      </c>
      <c r="J350" t="s">
        <v>27</v>
      </c>
      <c r="K350" t="s">
        <v>2895</v>
      </c>
      <c r="L350" t="s">
        <v>2896</v>
      </c>
      <c r="M350" t="s">
        <v>2897</v>
      </c>
      <c r="N350" t="s">
        <v>26</v>
      </c>
      <c r="O350" t="s">
        <v>2898</v>
      </c>
      <c r="P350" t="s">
        <v>26</v>
      </c>
      <c r="Q350" s="1" t="d">
        <v>1950-11-01</v>
      </c>
      <c r="R350" t="s">
        <v>2899</v>
      </c>
      <c r="S350" t="s">
        <v>2900</v>
      </c>
    </row>
    <row r="351" spans="1:19" x14ac:dyDescent="0.2">
      <c r="A351" t="s">
        <v>2901</v>
      </c>
      <c r="B351" t="s">
        <v>2902</v>
      </c>
      <c r="C351" t="s">
        <v>2903</v>
      </c>
      <c r="D351" t="s">
        <v>22</v>
      </c>
      <c r="E351" t="b">
        <v>0</v>
      </c>
      <c r="F351" t="s">
        <v>23</v>
      </c>
      <c r="G351" t="s">
        <v>2904</v>
      </c>
      <c r="H351" t="s">
        <v>325</v>
      </c>
      <c r="I351" s="2" t="d">
        <v>2023-01-01</v>
      </c>
      <c r="J351" t="s">
        <v>27</v>
      </c>
      <c r="K351" t="s">
        <v>2905</v>
      </c>
      <c r="L351" t="s">
        <v>2906</v>
      </c>
      <c r="M351" t="s">
        <v>2907</v>
      </c>
      <c r="N351" t="s">
        <v>26</v>
      </c>
      <c r="O351" t="s">
        <v>26</v>
      </c>
      <c r="P351" t="s">
        <v>26</v>
      </c>
      <c r="Q351" s="3" t="d">
        <v>2026-01-10</v>
      </c>
      <c r="R351" t="s">
        <v>41</v>
      </c>
      <c r="S351" t="s">
        <v>2908</v>
      </c>
    </row>
    <row r="352" spans="1:19" x14ac:dyDescent="0.2">
      <c r="A352" t="s">
        <v>2909</v>
      </c>
      <c r="B352" t="s">
        <v>2910</v>
      </c>
      <c r="C352" t="s">
        <v>2911</v>
      </c>
      <c r="D352" t="s">
        <v>22</v>
      </c>
      <c r="E352" t="b">
        <v>1</v>
      </c>
      <c r="F352" t="s">
        <v>23</v>
      </c>
      <c r="G352" t="s">
        <v>2912</v>
      </c>
      <c r="H352" t="s">
        <v>2913</v>
      </c>
      <c r="I352" t="s">
        <v>26</v>
      </c>
      <c r="J352" t="s">
        <v>27</v>
      </c>
      <c r="K352" t="s">
        <v>2914</v>
      </c>
      <c r="L352" t="s">
        <v>2909</v>
      </c>
      <c r="M352" t="s">
        <v>2915</v>
      </c>
      <c r="N352" t="s">
        <v>26</v>
      </c>
      <c r="O352" t="s">
        <v>2916</v>
      </c>
      <c r="P352">
        <f>1-925-246-5854</f>
        <v>-7024</v>
      </c>
      <c r="Q352" s="1" t="d">
        <v>1950-11-01</v>
      </c>
      <c r="R352" t="s">
        <v>2917</v>
      </c>
      <c r="S352" t="s">
        <v>2918</v>
      </c>
    </row>
    <row r="353" spans="1:19" x14ac:dyDescent="0.2">
      <c r="A353" t="s">
        <v>2919</v>
      </c>
      <c r="B353" t="s">
        <v>26</v>
      </c>
      <c r="C353" t="s">
        <v>2920</v>
      </c>
      <c r="D353" t="s">
        <v>26</v>
      </c>
      <c r="E353" t="s">
        <v>26</v>
      </c>
      <c r="F353" t="s">
        <v>26</v>
      </c>
      <c r="G353" t="s">
        <v>2921</v>
      </c>
      <c r="H353" t="s">
        <v>26</v>
      </c>
      <c r="I353" t="s">
        <v>26</v>
      </c>
      <c r="J353" t="s">
        <v>26</v>
      </c>
      <c r="K353" t="s">
        <v>2922</v>
      </c>
      <c r="L353" t="s">
        <v>2919</v>
      </c>
      <c r="M353" t="s">
        <v>26</v>
      </c>
      <c r="N353" t="s">
        <v>26</v>
      </c>
      <c r="O353" t="s">
        <v>26</v>
      </c>
      <c r="P353" t="s">
        <v>26</v>
      </c>
      <c r="Q353" t="s">
        <v>26</v>
      </c>
      <c r="R353" t="s">
        <v>2923</v>
      </c>
      <c r="S353" t="s">
        <v>2924</v>
      </c>
    </row>
    <row r="354" spans="1:19" x14ac:dyDescent="0.2">
      <c r="A354" t="s">
        <v>2925</v>
      </c>
      <c r="B354" t="s">
        <v>2925</v>
      </c>
      <c r="C354" t="s">
        <v>2926</v>
      </c>
      <c r="D354" t="s">
        <v>22</v>
      </c>
      <c r="E354" t="b">
        <v>0</v>
      </c>
      <c r="F354" t="s">
        <v>23</v>
      </c>
      <c r="G354" t="s">
        <v>2927</v>
      </c>
      <c r="H354" t="s">
        <v>26</v>
      </c>
      <c r="I354" t="s">
        <v>26</v>
      </c>
      <c r="J354" t="s">
        <v>27</v>
      </c>
      <c r="K354" t="s">
        <v>2928</v>
      </c>
      <c r="L354" t="s">
        <v>2929</v>
      </c>
      <c r="M354" t="s">
        <v>2930</v>
      </c>
      <c r="N354" t="s">
        <v>26</v>
      </c>
      <c r="O354" t="s">
        <v>26</v>
      </c>
      <c r="P354" t="s">
        <v>26</v>
      </c>
      <c r="Q354" t="s">
        <v>26</v>
      </c>
      <c r="R354" t="s">
        <v>2931</v>
      </c>
      <c r="S354" t="s">
        <v>2932</v>
      </c>
    </row>
    <row r="355" spans="1:19" x14ac:dyDescent="0.2">
      <c r="A355" t="s">
        <v>2933</v>
      </c>
      <c r="B355" t="s">
        <v>26</v>
      </c>
      <c r="C355" t="s">
        <v>2934</v>
      </c>
      <c r="D355" t="s">
        <v>26</v>
      </c>
      <c r="E355" t="s">
        <v>26</v>
      </c>
      <c r="F355" t="s">
        <v>26</v>
      </c>
      <c r="G355" t="s">
        <v>2935</v>
      </c>
      <c r="H355" t="s">
        <v>26</v>
      </c>
      <c r="I355" t="s">
        <v>26</v>
      </c>
      <c r="J355" t="s">
        <v>26</v>
      </c>
      <c r="K355" t="s">
        <v>2936</v>
      </c>
      <c r="L355" t="s">
        <v>2937</v>
      </c>
      <c r="M355" t="s">
        <v>2938</v>
      </c>
      <c r="N355" t="s">
        <v>2939</v>
      </c>
      <c r="O355" t="s">
        <v>26</v>
      </c>
      <c r="P355" t="s">
        <v>26</v>
      </c>
      <c r="Q355" t="s">
        <v>26</v>
      </c>
      <c r="R355" t="s">
        <v>2923</v>
      </c>
      <c r="S355" t="s">
        <v>2940</v>
      </c>
    </row>
    <row r="356" spans="1:19" x14ac:dyDescent="0.2">
      <c r="A356" t="s">
        <v>2941</v>
      </c>
      <c r="B356" t="s">
        <v>2941</v>
      </c>
      <c r="C356" t="s">
        <v>2942</v>
      </c>
      <c r="D356" t="s">
        <v>22</v>
      </c>
      <c r="E356" t="b">
        <v>0</v>
      </c>
      <c r="F356" t="s">
        <v>26</v>
      </c>
      <c r="G356" t="s">
        <v>2943</v>
      </c>
      <c r="H356" t="s">
        <v>2944</v>
      </c>
      <c r="I356" t="s">
        <v>26</v>
      </c>
      <c r="J356" t="s">
        <v>27</v>
      </c>
      <c r="K356" t="s">
        <v>2945</v>
      </c>
      <c r="L356" t="s">
        <v>2946</v>
      </c>
      <c r="M356" t="s">
        <v>26</v>
      </c>
      <c r="N356" t="s">
        <v>26</v>
      </c>
      <c r="O356" t="s">
        <v>2947</v>
      </c>
      <c r="P356" t="s">
        <v>26</v>
      </c>
      <c r="Q356" s="3" t="d">
        <v>2026-01-10</v>
      </c>
      <c r="R356" t="s">
        <v>2948</v>
      </c>
      <c r="S356" t="s">
        <v>2949</v>
      </c>
    </row>
    <row r="357" spans="1:19" x14ac:dyDescent="0.2">
      <c r="A357" t="s">
        <v>2950</v>
      </c>
      <c r="B357" t="s">
        <v>26</v>
      </c>
      <c r="C357" t="s">
        <v>2951</v>
      </c>
      <c r="D357" t="s">
        <v>26</v>
      </c>
      <c r="E357" t="s">
        <v>26</v>
      </c>
      <c r="F357" t="s">
        <v>26</v>
      </c>
      <c r="G357" t="s">
        <v>2952</v>
      </c>
      <c r="H357" t="s">
        <v>26</v>
      </c>
      <c r="I357" t="s">
        <v>26</v>
      </c>
      <c r="J357" t="s">
        <v>26</v>
      </c>
      <c r="K357" t="s">
        <v>2953</v>
      </c>
      <c r="L357" t="s">
        <v>2954</v>
      </c>
      <c r="M357" t="s">
        <v>2955</v>
      </c>
      <c r="N357" t="s">
        <v>26</v>
      </c>
      <c r="O357" t="s">
        <v>26</v>
      </c>
      <c r="P357" t="s">
        <v>26</v>
      </c>
      <c r="Q357" t="s">
        <v>26</v>
      </c>
      <c r="R357" t="s">
        <v>2923</v>
      </c>
      <c r="S357" t="s">
        <v>2956</v>
      </c>
    </row>
    <row r="358" spans="1:19" x14ac:dyDescent="0.2">
      <c r="A358" t="s">
        <v>2957</v>
      </c>
      <c r="B358" t="s">
        <v>26</v>
      </c>
      <c r="C358" t="s">
        <v>2958</v>
      </c>
      <c r="D358" t="s">
        <v>26</v>
      </c>
      <c r="E358" t="s">
        <v>26</v>
      </c>
      <c r="F358" t="s">
        <v>26</v>
      </c>
      <c r="G358" t="s">
        <v>2959</v>
      </c>
      <c r="H358" t="s">
        <v>26</v>
      </c>
      <c r="I358" t="s">
        <v>26</v>
      </c>
      <c r="J358" t="s">
        <v>26</v>
      </c>
      <c r="K358" t="s">
        <v>2960</v>
      </c>
      <c r="L358" t="s">
        <v>26</v>
      </c>
      <c r="M358" t="s">
        <v>26</v>
      </c>
      <c r="N358" t="s">
        <v>26</v>
      </c>
      <c r="O358" t="s">
        <v>26</v>
      </c>
      <c r="P358" t="s">
        <v>26</v>
      </c>
      <c r="Q358" t="s">
        <v>26</v>
      </c>
      <c r="R358" t="s">
        <v>2923</v>
      </c>
      <c r="S358" t="s">
        <v>2961</v>
      </c>
    </row>
    <row r="359" spans="1:19" x14ac:dyDescent="0.2">
      <c r="A359" t="s">
        <v>2962</v>
      </c>
      <c r="B359" t="s">
        <v>2963</v>
      </c>
      <c r="C359" t="s">
        <v>2964</v>
      </c>
      <c r="D359" t="s">
        <v>22</v>
      </c>
      <c r="E359" t="b">
        <v>0</v>
      </c>
      <c r="F359" t="s">
        <v>23</v>
      </c>
      <c r="G359" t="s">
        <v>2965</v>
      </c>
      <c r="H359" t="s">
        <v>634</v>
      </c>
      <c r="I359" t="s">
        <v>26</v>
      </c>
      <c r="J359" t="s">
        <v>27</v>
      </c>
      <c r="K359" t="s">
        <v>2966</v>
      </c>
      <c r="L359" t="s">
        <v>2963</v>
      </c>
      <c r="M359" t="s">
        <v>26</v>
      </c>
      <c r="N359" t="s">
        <v>26</v>
      </c>
      <c r="O359" t="s">
        <v>2967</v>
      </c>
      <c r="P359" t="s">
        <v>26</v>
      </c>
      <c r="Q359" t="s">
        <v>26</v>
      </c>
      <c r="R359" t="s">
        <v>1002</v>
      </c>
      <c r="S359" t="s">
        <v>2968</v>
      </c>
    </row>
    <row r="360" spans="1:19" x14ac:dyDescent="0.2">
      <c r="A360" t="s">
        <v>2969</v>
      </c>
      <c r="B360" t="s">
        <v>26</v>
      </c>
      <c r="C360" t="s">
        <v>2970</v>
      </c>
      <c r="D360" t="s">
        <v>26</v>
      </c>
      <c r="E360" t="s">
        <v>26</v>
      </c>
      <c r="F360" t="s">
        <v>26</v>
      </c>
      <c r="G360" t="s">
        <v>2971</v>
      </c>
      <c r="H360" t="s">
        <v>26</v>
      </c>
      <c r="I360" t="s">
        <v>26</v>
      </c>
      <c r="J360" t="s">
        <v>26</v>
      </c>
      <c r="K360" t="s">
        <v>2972</v>
      </c>
      <c r="L360" t="s">
        <v>2973</v>
      </c>
      <c r="M360" t="s">
        <v>2974</v>
      </c>
      <c r="N360" t="s">
        <v>26</v>
      </c>
      <c r="O360" t="s">
        <v>26</v>
      </c>
      <c r="P360" t="s">
        <v>26</v>
      </c>
      <c r="Q360" t="s">
        <v>26</v>
      </c>
      <c r="R360" t="s">
        <v>1114</v>
      </c>
      <c r="S360" t="s">
        <v>2975</v>
      </c>
    </row>
    <row r="361" spans="1:19" x14ac:dyDescent="0.2">
      <c r="A361" t="s">
        <v>749</v>
      </c>
      <c r="B361" t="s">
        <v>26</v>
      </c>
      <c r="C361" t="s">
        <v>2976</v>
      </c>
      <c r="D361" t="s">
        <v>26</v>
      </c>
      <c r="E361" t="s">
        <v>26</v>
      </c>
      <c r="F361" t="s">
        <v>26</v>
      </c>
      <c r="G361" t="s">
        <v>2977</v>
      </c>
      <c r="H361" t="s">
        <v>26</v>
      </c>
      <c r="I361" t="s">
        <v>26</v>
      </c>
      <c r="J361" t="s">
        <v>26</v>
      </c>
      <c r="K361" t="s">
        <v>2978</v>
      </c>
      <c r="L361" t="s">
        <v>2979</v>
      </c>
      <c r="M361" t="s">
        <v>2980</v>
      </c>
      <c r="N361" t="s">
        <v>26</v>
      </c>
      <c r="O361" t="s">
        <v>26</v>
      </c>
      <c r="P361" t="s">
        <v>26</v>
      </c>
      <c r="Q361" t="s">
        <v>26</v>
      </c>
      <c r="R361" t="s">
        <v>2923</v>
      </c>
      <c r="S361" t="s">
        <v>2981</v>
      </c>
    </row>
    <row r="362" spans="1:19" x14ac:dyDescent="0.2">
      <c r="A362" t="s">
        <v>2982</v>
      </c>
      <c r="B362" t="s">
        <v>26</v>
      </c>
      <c r="C362" t="s">
        <v>2983</v>
      </c>
      <c r="D362" t="s">
        <v>26</v>
      </c>
      <c r="E362" t="s">
        <v>26</v>
      </c>
      <c r="F362" t="s">
        <v>26</v>
      </c>
      <c r="G362" t="s">
        <v>2984</v>
      </c>
      <c r="H362" t="s">
        <v>26</v>
      </c>
      <c r="I362" t="s">
        <v>26</v>
      </c>
      <c r="J362" t="s">
        <v>26</v>
      </c>
      <c r="K362" t="s">
        <v>26</v>
      </c>
      <c r="L362" t="s">
        <v>26</v>
      </c>
      <c r="M362" t="s">
        <v>26</v>
      </c>
      <c r="N362" t="s">
        <v>26</v>
      </c>
      <c r="O362" t="s">
        <v>26</v>
      </c>
      <c r="P362" t="s">
        <v>26</v>
      </c>
      <c r="Q362" t="s">
        <v>26</v>
      </c>
      <c r="R362" t="s">
        <v>2923</v>
      </c>
      <c r="S362" t="s">
        <v>2985</v>
      </c>
    </row>
    <row r="363" spans="1:19" x14ac:dyDescent="0.2">
      <c r="A363" t="s">
        <v>2986</v>
      </c>
      <c r="B363" t="s">
        <v>26</v>
      </c>
      <c r="C363" t="s">
        <v>2987</v>
      </c>
      <c r="D363" t="s">
        <v>26</v>
      </c>
      <c r="E363" t="s">
        <v>26</v>
      </c>
      <c r="F363" t="s">
        <v>26</v>
      </c>
      <c r="G363" t="s">
        <v>2988</v>
      </c>
      <c r="H363" t="s">
        <v>26</v>
      </c>
      <c r="I363" t="s">
        <v>26</v>
      </c>
      <c r="J363" t="s">
        <v>26</v>
      </c>
      <c r="K363" t="s">
        <v>2989</v>
      </c>
      <c r="L363" t="s">
        <v>26</v>
      </c>
      <c r="M363" t="s">
        <v>2990</v>
      </c>
      <c r="N363" t="s">
        <v>26</v>
      </c>
      <c r="O363" t="s">
        <v>26</v>
      </c>
      <c r="P363" t="s">
        <v>26</v>
      </c>
      <c r="Q363" t="s">
        <v>26</v>
      </c>
      <c r="R363" t="s">
        <v>2923</v>
      </c>
      <c r="S363" t="s">
        <v>2991</v>
      </c>
    </row>
    <row r="364" spans="1:19" x14ac:dyDescent="0.2">
      <c r="A364" t="s">
        <v>2992</v>
      </c>
      <c r="B364" t="s">
        <v>26</v>
      </c>
      <c r="C364" t="s">
        <v>2993</v>
      </c>
      <c r="D364" t="s">
        <v>26</v>
      </c>
      <c r="E364" t="s">
        <v>26</v>
      </c>
      <c r="F364" t="s">
        <v>26</v>
      </c>
      <c r="G364" t="s">
        <v>2994</v>
      </c>
      <c r="H364" t="s">
        <v>26</v>
      </c>
      <c r="I364" t="s">
        <v>26</v>
      </c>
      <c r="J364" t="s">
        <v>26</v>
      </c>
      <c r="K364" t="s">
        <v>26</v>
      </c>
      <c r="L364" t="s">
        <v>26</v>
      </c>
      <c r="M364" t="s">
        <v>26</v>
      </c>
      <c r="N364" t="s">
        <v>26</v>
      </c>
      <c r="O364" t="s">
        <v>26</v>
      </c>
      <c r="P364" t="s">
        <v>26</v>
      </c>
      <c r="Q364" t="s">
        <v>26</v>
      </c>
      <c r="R364" t="s">
        <v>1072</v>
      </c>
      <c r="S364" t="s">
        <v>2995</v>
      </c>
    </row>
    <row r="365" spans="1:19" x14ac:dyDescent="0.2">
      <c r="A365" t="s">
        <v>2996</v>
      </c>
      <c r="B365" t="s">
        <v>26</v>
      </c>
      <c r="C365" t="s">
        <v>2997</v>
      </c>
      <c r="D365" t="s">
        <v>26</v>
      </c>
      <c r="E365" t="s">
        <v>26</v>
      </c>
      <c r="F365" t="s">
        <v>26</v>
      </c>
      <c r="G365" t="s">
        <v>2998</v>
      </c>
      <c r="H365" t="s">
        <v>26</v>
      </c>
      <c r="I365" t="s">
        <v>26</v>
      </c>
      <c r="J365" t="s">
        <v>26</v>
      </c>
      <c r="K365" t="s">
        <v>2999</v>
      </c>
      <c r="L365" t="s">
        <v>26</v>
      </c>
      <c r="M365" t="s">
        <v>26</v>
      </c>
      <c r="N365" t="s">
        <v>26</v>
      </c>
      <c r="O365" t="s">
        <v>26</v>
      </c>
      <c r="P365" t="s">
        <v>26</v>
      </c>
      <c r="Q365" t="s">
        <v>26</v>
      </c>
      <c r="R365" t="s">
        <v>1114</v>
      </c>
      <c r="S365" t="s">
        <v>3000</v>
      </c>
    </row>
    <row r="366" spans="1:19" x14ac:dyDescent="0.2">
      <c r="A366" t="s">
        <v>3001</v>
      </c>
      <c r="B366" t="s">
        <v>26</v>
      </c>
      <c r="C366" t="s">
        <v>3002</v>
      </c>
      <c r="D366" t="s">
        <v>26</v>
      </c>
      <c r="E366" t="s">
        <v>26</v>
      </c>
      <c r="F366" t="s">
        <v>26</v>
      </c>
      <c r="G366" t="s">
        <v>3003</v>
      </c>
      <c r="H366" t="s">
        <v>26</v>
      </c>
      <c r="I366" t="s">
        <v>26</v>
      </c>
      <c r="J366" t="s">
        <v>26</v>
      </c>
      <c r="K366" t="s">
        <v>26</v>
      </c>
      <c r="L366" t="s">
        <v>3001</v>
      </c>
      <c r="M366" t="s">
        <v>26</v>
      </c>
      <c r="N366" t="s">
        <v>26</v>
      </c>
      <c r="O366" t="s">
        <v>26</v>
      </c>
      <c r="P366" t="s">
        <v>26</v>
      </c>
      <c r="Q366" t="s">
        <v>26</v>
      </c>
      <c r="R366" t="s">
        <v>1114</v>
      </c>
      <c r="S366" t="s">
        <v>3004</v>
      </c>
    </row>
    <row r="367" spans="1:19" x14ac:dyDescent="0.2">
      <c r="A367" t="s">
        <v>3005</v>
      </c>
      <c r="B367" t="s">
        <v>26</v>
      </c>
      <c r="C367" t="s">
        <v>3006</v>
      </c>
      <c r="D367" t="s">
        <v>26</v>
      </c>
      <c r="E367" t="s">
        <v>26</v>
      </c>
      <c r="F367" t="s">
        <v>26</v>
      </c>
      <c r="G367" t="s">
        <v>3007</v>
      </c>
      <c r="H367" t="s">
        <v>26</v>
      </c>
      <c r="I367" t="s">
        <v>26</v>
      </c>
      <c r="J367" t="s">
        <v>26</v>
      </c>
      <c r="K367" t="s">
        <v>3008</v>
      </c>
      <c r="L367" t="s">
        <v>26</v>
      </c>
      <c r="M367" t="s">
        <v>3009</v>
      </c>
      <c r="N367" t="s">
        <v>26</v>
      </c>
      <c r="O367" t="s">
        <v>26</v>
      </c>
      <c r="P367" t="s">
        <v>26</v>
      </c>
      <c r="Q367" t="s">
        <v>26</v>
      </c>
      <c r="R367" t="s">
        <v>2923</v>
      </c>
      <c r="S367" t="s">
        <v>3010</v>
      </c>
    </row>
    <row r="368" spans="1:19" x14ac:dyDescent="0.2">
      <c r="A368" t="s">
        <v>3011</v>
      </c>
      <c r="B368" t="s">
        <v>3012</v>
      </c>
      <c r="C368" t="s">
        <v>3013</v>
      </c>
      <c r="D368" t="s">
        <v>22</v>
      </c>
      <c r="E368" t="b">
        <v>0</v>
      </c>
      <c r="F368" t="s">
        <v>23</v>
      </c>
      <c r="G368" t="s">
        <v>3014</v>
      </c>
      <c r="H368" t="s">
        <v>212</v>
      </c>
      <c r="I368" t="s">
        <v>26</v>
      </c>
      <c r="J368" t="s">
        <v>27</v>
      </c>
      <c r="K368" t="s">
        <v>3015</v>
      </c>
      <c r="L368" t="s">
        <v>3016</v>
      </c>
      <c r="M368" t="s">
        <v>3017</v>
      </c>
      <c r="N368" t="s">
        <v>26</v>
      </c>
      <c r="O368" t="s">
        <v>3018</v>
      </c>
      <c r="P368" t="s">
        <v>3019</v>
      </c>
      <c r="Q368" s="1" t="d">
        <v>1950-11-01</v>
      </c>
      <c r="R368" t="s">
        <v>3020</v>
      </c>
      <c r="S368" t="s">
        <v>3021</v>
      </c>
    </row>
    <row r="369" spans="1:19" x14ac:dyDescent="0.2">
      <c r="A369" t="s">
        <v>3022</v>
      </c>
      <c r="B369" t="s">
        <v>26</v>
      </c>
      <c r="C369" t="s">
        <v>3023</v>
      </c>
      <c r="D369" t="s">
        <v>26</v>
      </c>
      <c r="E369" t="s">
        <v>26</v>
      </c>
      <c r="F369" t="s">
        <v>26</v>
      </c>
      <c r="G369" t="s">
        <v>3024</v>
      </c>
      <c r="H369" t="s">
        <v>26</v>
      </c>
      <c r="I369" t="s">
        <v>26</v>
      </c>
      <c r="J369" t="s">
        <v>26</v>
      </c>
      <c r="K369" t="s">
        <v>26</v>
      </c>
      <c r="L369" t="s">
        <v>26</v>
      </c>
      <c r="M369" t="s">
        <v>26</v>
      </c>
      <c r="N369" t="s">
        <v>26</v>
      </c>
      <c r="O369" t="s">
        <v>26</v>
      </c>
      <c r="P369" t="s">
        <v>26</v>
      </c>
      <c r="Q369" t="s">
        <v>26</v>
      </c>
      <c r="R369" t="s">
        <v>3025</v>
      </c>
      <c r="S369" t="s">
        <v>3026</v>
      </c>
    </row>
    <row r="370" spans="1:19" x14ac:dyDescent="0.2">
      <c r="A370" t="s">
        <v>3027</v>
      </c>
      <c r="B370" t="s">
        <v>3027</v>
      </c>
      <c r="C370" t="s">
        <v>3028</v>
      </c>
      <c r="D370" t="s">
        <v>22</v>
      </c>
      <c r="E370" t="b">
        <v>0</v>
      </c>
      <c r="F370" t="s">
        <v>23</v>
      </c>
      <c r="G370" t="s">
        <v>3029</v>
      </c>
      <c r="H370" t="s">
        <v>188</v>
      </c>
      <c r="I370" t="s">
        <v>26</v>
      </c>
      <c r="J370" t="s">
        <v>27</v>
      </c>
      <c r="K370" t="s">
        <v>3030</v>
      </c>
      <c r="L370" t="s">
        <v>3027</v>
      </c>
      <c r="M370" t="s">
        <v>3031</v>
      </c>
      <c r="N370" t="s">
        <v>3032</v>
      </c>
      <c r="O370" t="s">
        <v>3033</v>
      </c>
      <c r="P370" t="s">
        <v>3034</v>
      </c>
      <c r="Q370" t="s">
        <v>621</v>
      </c>
      <c r="R370" t="s">
        <v>41</v>
      </c>
      <c r="S370" t="s">
        <v>3035</v>
      </c>
    </row>
    <row r="371" spans="1:19" x14ac:dyDescent="0.2">
      <c r="A371" t="s">
        <v>3036</v>
      </c>
      <c r="B371" t="s">
        <v>3036</v>
      </c>
      <c r="C371" t="s">
        <v>3037</v>
      </c>
      <c r="D371" t="s">
        <v>22</v>
      </c>
      <c r="E371" t="b">
        <v>0</v>
      </c>
      <c r="F371" t="s">
        <v>23</v>
      </c>
      <c r="G371" t="s">
        <v>3038</v>
      </c>
      <c r="H371" t="s">
        <v>3039</v>
      </c>
      <c r="I371" t="s">
        <v>26</v>
      </c>
      <c r="J371" t="s">
        <v>27</v>
      </c>
      <c r="K371" t="s">
        <v>3040</v>
      </c>
      <c r="L371" t="s">
        <v>3036</v>
      </c>
      <c r="M371" t="s">
        <v>26</v>
      </c>
      <c r="N371" t="s">
        <v>26</v>
      </c>
      <c r="O371" t="s">
        <v>3041</v>
      </c>
      <c r="P371" t="s">
        <v>3042</v>
      </c>
      <c r="Q371" s="1" t="d">
        <v>1950-11-01</v>
      </c>
      <c r="R371" t="s">
        <v>31</v>
      </c>
      <c r="S371" t="s">
        <v>3043</v>
      </c>
    </row>
    <row r="372" spans="1:19" x14ac:dyDescent="0.2">
      <c r="A372" t="s">
        <v>3044</v>
      </c>
      <c r="B372" t="s">
        <v>3044</v>
      </c>
      <c r="C372" t="s">
        <v>3045</v>
      </c>
      <c r="D372" t="s">
        <v>22</v>
      </c>
      <c r="E372" t="b">
        <v>0</v>
      </c>
      <c r="F372" t="s">
        <v>23</v>
      </c>
      <c r="G372" t="s">
        <v>3046</v>
      </c>
      <c r="H372" t="s">
        <v>682</v>
      </c>
      <c r="I372" t="s">
        <v>26</v>
      </c>
      <c r="J372" t="s">
        <v>27</v>
      </c>
      <c r="K372" t="s">
        <v>3047</v>
      </c>
      <c r="L372" t="s">
        <v>3044</v>
      </c>
      <c r="M372" t="s">
        <v>3048</v>
      </c>
      <c r="N372" t="s">
        <v>3049</v>
      </c>
      <c r="O372" t="s">
        <v>3050</v>
      </c>
      <c r="P372" t="s">
        <v>3051</v>
      </c>
      <c r="Q372" t="s">
        <v>113</v>
      </c>
      <c r="R372" t="s">
        <v>41</v>
      </c>
      <c r="S372" t="s">
        <v>3052</v>
      </c>
    </row>
    <row r="373" spans="1:19" x14ac:dyDescent="0.2">
      <c r="A373" t="s">
        <v>3053</v>
      </c>
      <c r="B373" t="s">
        <v>3054</v>
      </c>
      <c r="C373" t="s">
        <v>3055</v>
      </c>
      <c r="D373" t="s">
        <v>22</v>
      </c>
      <c r="E373" t="b">
        <v>0</v>
      </c>
      <c r="F373" t="s">
        <v>23</v>
      </c>
      <c r="G373" t="s">
        <v>3056</v>
      </c>
      <c r="H373" t="s">
        <v>1134</v>
      </c>
      <c r="I373" t="s">
        <v>26</v>
      </c>
      <c r="J373" t="s">
        <v>27</v>
      </c>
      <c r="K373" t="s">
        <v>3057</v>
      </c>
      <c r="L373" t="s">
        <v>3058</v>
      </c>
      <c r="M373" t="s">
        <v>26</v>
      </c>
      <c r="N373" t="s">
        <v>26</v>
      </c>
      <c r="O373" t="s">
        <v>3059</v>
      </c>
      <c r="P373" t="s">
        <v>26</v>
      </c>
      <c r="Q373" s="3" t="d">
        <v>2026-01-10</v>
      </c>
      <c r="R373" t="s">
        <v>1082</v>
      </c>
      <c r="S373" t="s">
        <v>3060</v>
      </c>
    </row>
    <row r="374" spans="1:19" x14ac:dyDescent="0.2">
      <c r="A374" t="s">
        <v>3061</v>
      </c>
      <c r="B374" t="s">
        <v>3061</v>
      </c>
      <c r="C374" t="s">
        <v>3062</v>
      </c>
      <c r="D374" t="s">
        <v>22</v>
      </c>
      <c r="E374" t="b">
        <v>0</v>
      </c>
      <c r="F374" t="s">
        <v>23</v>
      </c>
      <c r="G374" t="s">
        <v>3063</v>
      </c>
      <c r="H374" t="s">
        <v>3064</v>
      </c>
      <c r="I374" t="s">
        <v>26</v>
      </c>
      <c r="J374" t="s">
        <v>27</v>
      </c>
      <c r="K374" t="s">
        <v>3065</v>
      </c>
      <c r="L374" t="s">
        <v>3066</v>
      </c>
      <c r="M374" t="s">
        <v>3067</v>
      </c>
      <c r="N374" t="s">
        <v>26</v>
      </c>
      <c r="O374" t="s">
        <v>26</v>
      </c>
      <c r="P374" t="s">
        <v>3068</v>
      </c>
      <c r="Q374" s="1" t="d">
        <v>1950-11-01</v>
      </c>
      <c r="R374" t="s">
        <v>1002</v>
      </c>
      <c r="S374" t="s">
        <v>3069</v>
      </c>
    </row>
    <row r="375" spans="1:19" x14ac:dyDescent="0.2">
      <c r="A375" t="s">
        <v>3070</v>
      </c>
      <c r="B375" t="s">
        <v>26</v>
      </c>
      <c r="C375" t="s">
        <v>3071</v>
      </c>
      <c r="D375" t="s">
        <v>26</v>
      </c>
      <c r="E375" t="s">
        <v>26</v>
      </c>
      <c r="F375" t="s">
        <v>26</v>
      </c>
      <c r="G375" t="s">
        <v>3072</v>
      </c>
      <c r="H375" t="s">
        <v>26</v>
      </c>
      <c r="I375" t="s">
        <v>26</v>
      </c>
      <c r="J375" t="s">
        <v>26</v>
      </c>
      <c r="K375" t="s">
        <v>3073</v>
      </c>
      <c r="L375" t="s">
        <v>3074</v>
      </c>
      <c r="M375" t="s">
        <v>26</v>
      </c>
      <c r="N375" t="s">
        <v>26</v>
      </c>
      <c r="O375" t="s">
        <v>26</v>
      </c>
      <c r="P375" t="s">
        <v>26</v>
      </c>
      <c r="Q375" t="s">
        <v>26</v>
      </c>
      <c r="R375" t="s">
        <v>1002</v>
      </c>
      <c r="S375" t="s">
        <v>3075</v>
      </c>
    </row>
    <row r="376" spans="1:19" x14ac:dyDescent="0.2">
      <c r="A376" t="s">
        <v>3076</v>
      </c>
      <c r="B376" t="s">
        <v>26</v>
      </c>
      <c r="C376" t="s">
        <v>3077</v>
      </c>
      <c r="D376" t="s">
        <v>26</v>
      </c>
      <c r="E376" t="s">
        <v>26</v>
      </c>
      <c r="F376" t="s">
        <v>26</v>
      </c>
      <c r="G376" t="s">
        <v>3078</v>
      </c>
      <c r="H376" t="s">
        <v>26</v>
      </c>
      <c r="I376" t="s">
        <v>26</v>
      </c>
      <c r="J376" t="s">
        <v>26</v>
      </c>
      <c r="K376" t="s">
        <v>3079</v>
      </c>
      <c r="L376" t="s">
        <v>3080</v>
      </c>
      <c r="M376" t="s">
        <v>26</v>
      </c>
      <c r="N376" t="s">
        <v>26</v>
      </c>
      <c r="O376" t="s">
        <v>26</v>
      </c>
      <c r="P376" t="s">
        <v>26</v>
      </c>
      <c r="Q376" t="s">
        <v>26</v>
      </c>
      <c r="R376" t="s">
        <v>1070</v>
      </c>
      <c r="S376" t="s">
        <v>3081</v>
      </c>
    </row>
    <row r="377" spans="1:19" x14ac:dyDescent="0.2">
      <c r="A377" t="s">
        <v>3082</v>
      </c>
      <c r="B377" t="s">
        <v>26</v>
      </c>
      <c r="C377" t="s">
        <v>3083</v>
      </c>
      <c r="D377" t="s">
        <v>26</v>
      </c>
      <c r="E377" t="s">
        <v>26</v>
      </c>
      <c r="F377" t="s">
        <v>26</v>
      </c>
      <c r="G377" t="s">
        <v>3084</v>
      </c>
      <c r="H377" t="s">
        <v>26</v>
      </c>
      <c r="I377" t="s">
        <v>26</v>
      </c>
      <c r="J377" t="s">
        <v>26</v>
      </c>
      <c r="K377" t="s">
        <v>3085</v>
      </c>
      <c r="L377" t="s">
        <v>3086</v>
      </c>
      <c r="M377" t="s">
        <v>26</v>
      </c>
      <c r="N377" t="s">
        <v>26</v>
      </c>
      <c r="O377" t="s">
        <v>26</v>
      </c>
      <c r="P377" t="s">
        <v>26</v>
      </c>
      <c r="Q377" t="s">
        <v>26</v>
      </c>
      <c r="R377" t="s">
        <v>1002</v>
      </c>
      <c r="S377" t="s">
        <v>3087</v>
      </c>
    </row>
    <row r="378" spans="1:19" x14ac:dyDescent="0.2">
      <c r="A378" t="s">
        <v>3088</v>
      </c>
      <c r="B378" t="s">
        <v>3089</v>
      </c>
      <c r="C378" t="s">
        <v>3090</v>
      </c>
      <c r="D378" t="s">
        <v>22</v>
      </c>
      <c r="E378" t="b">
        <v>0</v>
      </c>
      <c r="F378" t="s">
        <v>23</v>
      </c>
      <c r="G378" t="s">
        <v>3091</v>
      </c>
      <c r="H378" t="s">
        <v>3092</v>
      </c>
      <c r="I378" t="s">
        <v>26</v>
      </c>
      <c r="J378" t="s">
        <v>27</v>
      </c>
      <c r="K378" t="s">
        <v>3093</v>
      </c>
      <c r="L378" t="s">
        <v>26</v>
      </c>
      <c r="M378" t="s">
        <v>3094</v>
      </c>
      <c r="N378" t="s">
        <v>26</v>
      </c>
      <c r="O378" t="s">
        <v>26</v>
      </c>
      <c r="P378">
        <f>82-10-6610-3933</f>
        <v>-10471</v>
      </c>
      <c r="Q378" t="s">
        <v>26</v>
      </c>
      <c r="R378" t="s">
        <v>269</v>
      </c>
      <c r="S378" t="s">
        <v>3095</v>
      </c>
    </row>
    <row r="379" spans="1:19" x14ac:dyDescent="0.2">
      <c r="A379" t="s">
        <v>3096</v>
      </c>
      <c r="B379" t="s">
        <v>26</v>
      </c>
      <c r="C379" t="s">
        <v>3097</v>
      </c>
      <c r="D379" t="s">
        <v>26</v>
      </c>
      <c r="E379" t="s">
        <v>26</v>
      </c>
      <c r="F379" t="s">
        <v>26</v>
      </c>
      <c r="G379" t="s">
        <v>3098</v>
      </c>
      <c r="H379" t="s">
        <v>26</v>
      </c>
      <c r="I379" t="s">
        <v>26</v>
      </c>
      <c r="J379" t="s">
        <v>26</v>
      </c>
      <c r="K379" t="s">
        <v>26</v>
      </c>
      <c r="L379" t="s">
        <v>26</v>
      </c>
      <c r="M379" t="s">
        <v>26</v>
      </c>
      <c r="N379" t="s">
        <v>26</v>
      </c>
      <c r="O379" t="s">
        <v>26</v>
      </c>
      <c r="P379" t="s">
        <v>26</v>
      </c>
      <c r="Q379" t="s">
        <v>26</v>
      </c>
      <c r="R379" t="s">
        <v>1002</v>
      </c>
      <c r="S379" t="s">
        <v>3099</v>
      </c>
    </row>
    <row r="380" spans="1:19" x14ac:dyDescent="0.2">
      <c r="A380" t="s">
        <v>3100</v>
      </c>
      <c r="B380" t="s">
        <v>26</v>
      </c>
      <c r="C380" t="s">
        <v>3101</v>
      </c>
      <c r="D380" t="s">
        <v>26</v>
      </c>
      <c r="E380" t="s">
        <v>26</v>
      </c>
      <c r="F380" t="s">
        <v>26</v>
      </c>
      <c r="G380" t="s">
        <v>3102</v>
      </c>
      <c r="H380" t="s">
        <v>26</v>
      </c>
      <c r="I380" t="s">
        <v>26</v>
      </c>
      <c r="J380" t="s">
        <v>26</v>
      </c>
      <c r="K380" t="s">
        <v>26</v>
      </c>
      <c r="L380" t="s">
        <v>26</v>
      </c>
      <c r="M380" t="s">
        <v>26</v>
      </c>
      <c r="N380" t="s">
        <v>26</v>
      </c>
      <c r="O380" t="s">
        <v>26</v>
      </c>
      <c r="P380" t="s">
        <v>26</v>
      </c>
      <c r="Q380" t="s">
        <v>26</v>
      </c>
      <c r="R380" t="s">
        <v>1002</v>
      </c>
      <c r="S380" t="s">
        <v>3103</v>
      </c>
    </row>
    <row r="381" spans="1:19" x14ac:dyDescent="0.2">
      <c r="A381" t="s">
        <v>3104</v>
      </c>
      <c r="B381" t="s">
        <v>3104</v>
      </c>
      <c r="C381" t="s">
        <v>3105</v>
      </c>
      <c r="D381" t="s">
        <v>22</v>
      </c>
      <c r="E381" t="b">
        <v>0</v>
      </c>
      <c r="F381" t="s">
        <v>26</v>
      </c>
      <c r="G381" t="s">
        <v>3106</v>
      </c>
      <c r="H381" t="s">
        <v>3107</v>
      </c>
      <c r="I381" t="s">
        <v>26</v>
      </c>
      <c r="J381" t="s">
        <v>27</v>
      </c>
      <c r="K381" t="s">
        <v>3108</v>
      </c>
      <c r="L381" t="s">
        <v>3104</v>
      </c>
      <c r="M381" t="s">
        <v>26</v>
      </c>
      <c r="N381" t="s">
        <v>26</v>
      </c>
      <c r="O381" t="s">
        <v>26</v>
      </c>
      <c r="P381" t="s">
        <v>26</v>
      </c>
      <c r="Q381" s="1" t="d">
        <v>1950-11-01</v>
      </c>
      <c r="R381" t="s">
        <v>269</v>
      </c>
      <c r="S381" t="s">
        <v>3109</v>
      </c>
    </row>
    <row r="382" spans="1:19" x14ac:dyDescent="0.2">
      <c r="A382" t="s">
        <v>3110</v>
      </c>
      <c r="B382" t="s">
        <v>26</v>
      </c>
      <c r="C382" t="s">
        <v>3111</v>
      </c>
      <c r="D382" t="s">
        <v>26</v>
      </c>
      <c r="E382" t="s">
        <v>26</v>
      </c>
      <c r="F382" t="s">
        <v>26</v>
      </c>
      <c r="G382" t="s">
        <v>3112</v>
      </c>
      <c r="H382" t="s">
        <v>26</v>
      </c>
      <c r="I382" t="s">
        <v>26</v>
      </c>
      <c r="J382" t="s">
        <v>26</v>
      </c>
      <c r="K382" t="s">
        <v>3113</v>
      </c>
      <c r="L382" t="s">
        <v>3114</v>
      </c>
      <c r="M382" t="s">
        <v>26</v>
      </c>
      <c r="N382" t="s">
        <v>26</v>
      </c>
      <c r="O382" t="s">
        <v>26</v>
      </c>
      <c r="P382" t="s">
        <v>26</v>
      </c>
      <c r="Q382" t="s">
        <v>26</v>
      </c>
      <c r="R382" t="s">
        <v>3115</v>
      </c>
      <c r="S382" t="s">
        <v>3116</v>
      </c>
    </row>
    <row r="383" spans="1:19" x14ac:dyDescent="0.2">
      <c r="A383" t="s">
        <v>3117</v>
      </c>
      <c r="B383" t="s">
        <v>3117</v>
      </c>
      <c r="C383" t="s">
        <v>3118</v>
      </c>
      <c r="D383" t="s">
        <v>22</v>
      </c>
      <c r="E383" t="b">
        <v>0</v>
      </c>
      <c r="F383" t="s">
        <v>23</v>
      </c>
      <c r="G383" t="s">
        <v>3119</v>
      </c>
      <c r="H383" t="s">
        <v>339</v>
      </c>
      <c r="I383" s="2" t="d">
        <v>2020-09-28</v>
      </c>
      <c r="J383" t="s">
        <v>27</v>
      </c>
      <c r="K383" t="s">
        <v>3120</v>
      </c>
      <c r="L383" t="s">
        <v>3117</v>
      </c>
      <c r="M383" t="s">
        <v>3121</v>
      </c>
      <c r="N383" t="s">
        <v>3122</v>
      </c>
      <c r="O383" t="s">
        <v>3123</v>
      </c>
      <c r="P383" t="s">
        <v>26</v>
      </c>
      <c r="Q383" t="s">
        <v>54</v>
      </c>
      <c r="R383" t="s">
        <v>41</v>
      </c>
      <c r="S383" t="s">
        <v>3124</v>
      </c>
    </row>
    <row r="384" spans="1:19" x14ac:dyDescent="0.2">
      <c r="A384" t="s">
        <v>3125</v>
      </c>
      <c r="B384" t="s">
        <v>3125</v>
      </c>
      <c r="C384" t="s">
        <v>3126</v>
      </c>
      <c r="D384" t="s">
        <v>22</v>
      </c>
      <c r="E384" t="b">
        <v>0</v>
      </c>
      <c r="F384" t="s">
        <v>23</v>
      </c>
      <c r="G384" t="s">
        <v>3127</v>
      </c>
      <c r="H384" t="s">
        <v>3128</v>
      </c>
      <c r="I384" t="s">
        <v>26</v>
      </c>
      <c r="J384" t="s">
        <v>27</v>
      </c>
      <c r="K384" t="s">
        <v>3129</v>
      </c>
      <c r="L384" t="s">
        <v>3125</v>
      </c>
      <c r="M384" t="s">
        <v>3130</v>
      </c>
      <c r="N384" t="s">
        <v>3131</v>
      </c>
      <c r="O384" t="s">
        <v>3132</v>
      </c>
      <c r="P384" t="s">
        <v>3133</v>
      </c>
      <c r="Q384" t="s">
        <v>54</v>
      </c>
      <c r="R384" t="s">
        <v>3134</v>
      </c>
      <c r="S384" t="s">
        <v>3135</v>
      </c>
    </row>
    <row r="385" spans="1:19" x14ac:dyDescent="0.2">
      <c r="A385" t="s">
        <v>3136</v>
      </c>
      <c r="B385" t="s">
        <v>3137</v>
      </c>
      <c r="C385" t="s">
        <v>3138</v>
      </c>
      <c r="D385" t="s">
        <v>22</v>
      </c>
      <c r="E385" t="b">
        <v>0</v>
      </c>
      <c r="F385" t="s">
        <v>23</v>
      </c>
      <c r="G385" t="s">
        <v>3139</v>
      </c>
      <c r="H385" t="s">
        <v>3140</v>
      </c>
      <c r="I385" t="s">
        <v>26</v>
      </c>
      <c r="J385" t="s">
        <v>27</v>
      </c>
      <c r="K385" t="s">
        <v>3141</v>
      </c>
      <c r="L385" t="s">
        <v>3136</v>
      </c>
      <c r="M385" t="s">
        <v>3142</v>
      </c>
      <c r="N385" t="s">
        <v>3143</v>
      </c>
      <c r="O385" t="s">
        <v>3144</v>
      </c>
      <c r="P385" t="s">
        <v>26</v>
      </c>
      <c r="Q385" t="s">
        <v>54</v>
      </c>
      <c r="R385" t="s">
        <v>1263</v>
      </c>
      <c r="S385" t="s">
        <v>3145</v>
      </c>
    </row>
    <row r="386" spans="1:19" x14ac:dyDescent="0.2">
      <c r="A386" t="s">
        <v>3146</v>
      </c>
      <c r="B386" t="s">
        <v>26</v>
      </c>
      <c r="C386" t="s">
        <v>3147</v>
      </c>
      <c r="D386" t="s">
        <v>26</v>
      </c>
      <c r="E386" t="s">
        <v>26</v>
      </c>
      <c r="F386" t="s">
        <v>26</v>
      </c>
      <c r="G386" t="s">
        <v>3148</v>
      </c>
      <c r="H386" t="s">
        <v>26</v>
      </c>
      <c r="I386" t="s">
        <v>26</v>
      </c>
      <c r="J386" t="s">
        <v>26</v>
      </c>
      <c r="K386" t="s">
        <v>26</v>
      </c>
      <c r="L386" t="s">
        <v>26</v>
      </c>
      <c r="M386" t="s">
        <v>26</v>
      </c>
      <c r="N386" t="s">
        <v>26</v>
      </c>
      <c r="O386" t="s">
        <v>26</v>
      </c>
      <c r="P386" t="s">
        <v>26</v>
      </c>
      <c r="Q386" t="s">
        <v>26</v>
      </c>
      <c r="R386" t="s">
        <v>3149</v>
      </c>
      <c r="S386" t="s">
        <v>3150</v>
      </c>
    </row>
    <row r="387" spans="1:19" x14ac:dyDescent="0.2">
      <c r="A387" t="s">
        <v>3151</v>
      </c>
      <c r="B387" t="s">
        <v>26</v>
      </c>
      <c r="C387" t="s">
        <v>3152</v>
      </c>
      <c r="D387" t="s">
        <v>26</v>
      </c>
      <c r="E387" t="s">
        <v>26</v>
      </c>
      <c r="F387" t="s">
        <v>26</v>
      </c>
      <c r="G387" t="s">
        <v>3153</v>
      </c>
      <c r="H387" t="s">
        <v>26</v>
      </c>
      <c r="I387" t="s">
        <v>26</v>
      </c>
      <c r="J387" t="s">
        <v>26</v>
      </c>
      <c r="K387" t="s">
        <v>3154</v>
      </c>
      <c r="L387" t="s">
        <v>3151</v>
      </c>
      <c r="M387" t="s">
        <v>26</v>
      </c>
      <c r="N387" t="s">
        <v>26</v>
      </c>
      <c r="O387" t="s">
        <v>26</v>
      </c>
      <c r="P387" t="s">
        <v>26</v>
      </c>
      <c r="Q387" t="s">
        <v>26</v>
      </c>
      <c r="R387" t="s">
        <v>31</v>
      </c>
      <c r="S387" t="s">
        <v>3155</v>
      </c>
    </row>
    <row r="388" spans="1:19" x14ac:dyDescent="0.2">
      <c r="A388" t="s">
        <v>3156</v>
      </c>
      <c r="B388" t="s">
        <v>3156</v>
      </c>
      <c r="C388" t="s">
        <v>3157</v>
      </c>
      <c r="D388" t="s">
        <v>22</v>
      </c>
      <c r="E388" t="b">
        <v>0</v>
      </c>
      <c r="F388" t="s">
        <v>23</v>
      </c>
      <c r="G388" t="s">
        <v>3158</v>
      </c>
      <c r="H388" t="s">
        <v>146</v>
      </c>
      <c r="I388" t="s">
        <v>26</v>
      </c>
      <c r="J388" t="s">
        <v>27</v>
      </c>
      <c r="K388" t="s">
        <v>3159</v>
      </c>
      <c r="L388" t="s">
        <v>3160</v>
      </c>
      <c r="M388" t="s">
        <v>26</v>
      </c>
      <c r="N388" t="s">
        <v>26</v>
      </c>
      <c r="O388" t="s">
        <v>26</v>
      </c>
      <c r="P388" t="s">
        <v>26</v>
      </c>
      <c r="Q388" s="1" t="d">
        <v>1950-11-01</v>
      </c>
      <c r="R388" t="s">
        <v>31</v>
      </c>
      <c r="S388" t="s">
        <v>3161</v>
      </c>
    </row>
    <row r="389" spans="1:19" x14ac:dyDescent="0.2">
      <c r="A389" t="s">
        <v>3162</v>
      </c>
      <c r="B389" t="s">
        <v>26</v>
      </c>
      <c r="C389" t="s">
        <v>3163</v>
      </c>
      <c r="D389" t="s">
        <v>26</v>
      </c>
      <c r="E389" t="s">
        <v>26</v>
      </c>
      <c r="F389" t="s">
        <v>26</v>
      </c>
      <c r="G389" t="s">
        <v>3164</v>
      </c>
      <c r="H389" t="s">
        <v>26</v>
      </c>
      <c r="I389" t="s">
        <v>26</v>
      </c>
      <c r="J389" t="s">
        <v>26</v>
      </c>
      <c r="K389" t="s">
        <v>26</v>
      </c>
      <c r="L389" t="s">
        <v>26</v>
      </c>
      <c r="M389" t="s">
        <v>26</v>
      </c>
      <c r="N389" t="s">
        <v>26</v>
      </c>
      <c r="O389" t="s">
        <v>26</v>
      </c>
      <c r="P389" t="s">
        <v>26</v>
      </c>
      <c r="Q389" t="s">
        <v>26</v>
      </c>
      <c r="R389" t="s">
        <v>31</v>
      </c>
      <c r="S389" t="s">
        <v>3165</v>
      </c>
    </row>
    <row r="390" spans="1:19" x14ac:dyDescent="0.2">
      <c r="A390" t="s">
        <v>3166</v>
      </c>
      <c r="B390" t="s">
        <v>26</v>
      </c>
      <c r="C390" t="s">
        <v>3167</v>
      </c>
      <c r="D390" t="s">
        <v>26</v>
      </c>
      <c r="E390" t="s">
        <v>26</v>
      </c>
      <c r="F390" t="s">
        <v>26</v>
      </c>
      <c r="G390" t="s">
        <v>3168</v>
      </c>
      <c r="H390" t="s">
        <v>26</v>
      </c>
      <c r="I390" t="s">
        <v>26</v>
      </c>
      <c r="J390" t="s">
        <v>26</v>
      </c>
      <c r="K390" t="s">
        <v>26</v>
      </c>
      <c r="L390" t="s">
        <v>3169</v>
      </c>
      <c r="M390" t="s">
        <v>26</v>
      </c>
      <c r="N390" t="s">
        <v>26</v>
      </c>
      <c r="O390" t="s">
        <v>26</v>
      </c>
      <c r="P390" t="s">
        <v>26</v>
      </c>
      <c r="Q390" t="s">
        <v>26</v>
      </c>
      <c r="R390" t="s">
        <v>31</v>
      </c>
      <c r="S390" t="s">
        <v>3170</v>
      </c>
    </row>
    <row r="391" spans="1:19" x14ac:dyDescent="0.2">
      <c r="A391" t="s">
        <v>3171</v>
      </c>
      <c r="B391" t="s">
        <v>26</v>
      </c>
      <c r="C391" t="s">
        <v>3172</v>
      </c>
      <c r="D391" t="s">
        <v>26</v>
      </c>
      <c r="E391" t="s">
        <v>26</v>
      </c>
      <c r="F391" t="s">
        <v>26</v>
      </c>
      <c r="G391" t="s">
        <v>3173</v>
      </c>
      <c r="H391" t="s">
        <v>26</v>
      </c>
      <c r="I391" t="s">
        <v>26</v>
      </c>
      <c r="J391" t="s">
        <v>26</v>
      </c>
      <c r="K391" t="s">
        <v>3174</v>
      </c>
      <c r="L391" t="s">
        <v>3175</v>
      </c>
      <c r="M391" t="s">
        <v>26</v>
      </c>
      <c r="N391" t="s">
        <v>26</v>
      </c>
      <c r="O391" t="s">
        <v>26</v>
      </c>
      <c r="P391" t="s">
        <v>26</v>
      </c>
      <c r="Q391" t="s">
        <v>26</v>
      </c>
      <c r="R391" t="s">
        <v>31</v>
      </c>
      <c r="S391" t="s">
        <v>3176</v>
      </c>
    </row>
    <row r="392" spans="1:19" x14ac:dyDescent="0.2">
      <c r="A392" t="s">
        <v>3177</v>
      </c>
      <c r="B392" t="s">
        <v>26</v>
      </c>
      <c r="C392" t="s">
        <v>3178</v>
      </c>
      <c r="D392" t="s">
        <v>26</v>
      </c>
      <c r="E392" t="s">
        <v>26</v>
      </c>
      <c r="F392" t="s">
        <v>26</v>
      </c>
      <c r="G392" t="s">
        <v>3179</v>
      </c>
      <c r="H392" t="s">
        <v>26</v>
      </c>
      <c r="I392" t="s">
        <v>26</v>
      </c>
      <c r="J392" t="s">
        <v>26</v>
      </c>
      <c r="K392" t="s">
        <v>26</v>
      </c>
      <c r="L392" t="s">
        <v>26</v>
      </c>
      <c r="M392" t="s">
        <v>26</v>
      </c>
      <c r="N392" t="s">
        <v>26</v>
      </c>
      <c r="O392" t="s">
        <v>26</v>
      </c>
      <c r="P392" t="s">
        <v>26</v>
      </c>
      <c r="Q392" t="s">
        <v>26</v>
      </c>
      <c r="R392" t="s">
        <v>31</v>
      </c>
      <c r="S392" t="s">
        <v>3180</v>
      </c>
    </row>
    <row r="393" spans="1:19" x14ac:dyDescent="0.2">
      <c r="A393" t="s">
        <v>3181</v>
      </c>
      <c r="B393" t="s">
        <v>3182</v>
      </c>
      <c r="C393" t="s">
        <v>3183</v>
      </c>
      <c r="D393" t="s">
        <v>22</v>
      </c>
      <c r="E393" t="b">
        <v>0</v>
      </c>
      <c r="F393" t="s">
        <v>23</v>
      </c>
      <c r="G393" t="s">
        <v>3184</v>
      </c>
      <c r="H393" t="s">
        <v>1064</v>
      </c>
      <c r="I393" s="2" t="d">
        <v>2024-08-27</v>
      </c>
      <c r="J393" t="s">
        <v>27</v>
      </c>
      <c r="K393" t="s">
        <v>3185</v>
      </c>
      <c r="L393" t="s">
        <v>3186</v>
      </c>
      <c r="M393" t="s">
        <v>3187</v>
      </c>
      <c r="N393" t="s">
        <v>26</v>
      </c>
      <c r="O393" t="s">
        <v>3188</v>
      </c>
      <c r="P393" t="s">
        <v>26</v>
      </c>
      <c r="Q393" t="s">
        <v>26</v>
      </c>
      <c r="R393" t="s">
        <v>3189</v>
      </c>
      <c r="S393" t="s">
        <v>3190</v>
      </c>
    </row>
    <row r="394" spans="1:19" x14ac:dyDescent="0.2">
      <c r="A394" t="s">
        <v>3191</v>
      </c>
      <c r="B394" t="s">
        <v>3191</v>
      </c>
      <c r="C394" t="s">
        <v>3192</v>
      </c>
      <c r="D394" t="s">
        <v>22</v>
      </c>
      <c r="E394" t="b">
        <v>0</v>
      </c>
      <c r="F394" t="s">
        <v>23</v>
      </c>
      <c r="G394" t="s">
        <v>3193</v>
      </c>
      <c r="H394" t="s">
        <v>1064</v>
      </c>
      <c r="I394" t="s">
        <v>26</v>
      </c>
      <c r="J394" t="s">
        <v>27</v>
      </c>
      <c r="K394" t="s">
        <v>3194</v>
      </c>
      <c r="L394" t="s">
        <v>3191</v>
      </c>
      <c r="M394" t="s">
        <v>26</v>
      </c>
      <c r="N394" t="s">
        <v>26</v>
      </c>
      <c r="O394" t="s">
        <v>26</v>
      </c>
      <c r="P394" t="s">
        <v>3195</v>
      </c>
      <c r="Q394" s="3" t="d">
        <v>2026-01-10</v>
      </c>
      <c r="R394" t="s">
        <v>3196</v>
      </c>
      <c r="S394" t="s">
        <v>3197</v>
      </c>
    </row>
    <row r="395" spans="1:19" x14ac:dyDescent="0.2">
      <c r="A395" t="s">
        <v>3198</v>
      </c>
      <c r="B395" t="s">
        <v>26</v>
      </c>
      <c r="C395" t="s">
        <v>3199</v>
      </c>
      <c r="D395" t="s">
        <v>26</v>
      </c>
      <c r="E395" t="s">
        <v>26</v>
      </c>
      <c r="F395" t="s">
        <v>26</v>
      </c>
      <c r="G395" t="s">
        <v>3200</v>
      </c>
      <c r="H395" t="s">
        <v>26</v>
      </c>
      <c r="I395" t="s">
        <v>26</v>
      </c>
      <c r="J395" t="s">
        <v>26</v>
      </c>
      <c r="K395" t="s">
        <v>3201</v>
      </c>
      <c r="L395" t="s">
        <v>3202</v>
      </c>
      <c r="M395" t="s">
        <v>3203</v>
      </c>
      <c r="N395" t="s">
        <v>26</v>
      </c>
      <c r="O395" t="s">
        <v>26</v>
      </c>
      <c r="P395" t="s">
        <v>26</v>
      </c>
      <c r="Q395" t="s">
        <v>26</v>
      </c>
      <c r="R395" t="s">
        <v>3196</v>
      </c>
      <c r="S395" t="s">
        <v>3204</v>
      </c>
    </row>
    <row r="396" spans="1:19" x14ac:dyDescent="0.2">
      <c r="A396" t="s">
        <v>3205</v>
      </c>
      <c r="B396" t="s">
        <v>26</v>
      </c>
      <c r="C396" t="s">
        <v>3206</v>
      </c>
      <c r="D396" t="s">
        <v>26</v>
      </c>
      <c r="E396" t="s">
        <v>26</v>
      </c>
      <c r="F396" t="s">
        <v>26</v>
      </c>
      <c r="G396" t="s">
        <v>3207</v>
      </c>
      <c r="H396" t="s">
        <v>26</v>
      </c>
      <c r="I396" t="s">
        <v>26</v>
      </c>
      <c r="J396" t="s">
        <v>26</v>
      </c>
      <c r="K396" t="s">
        <v>3208</v>
      </c>
      <c r="L396" t="s">
        <v>26</v>
      </c>
      <c r="M396" t="s">
        <v>3209</v>
      </c>
      <c r="N396" t="s">
        <v>26</v>
      </c>
      <c r="O396" t="s">
        <v>26</v>
      </c>
      <c r="P396" t="s">
        <v>26</v>
      </c>
      <c r="Q396" t="s">
        <v>26</v>
      </c>
      <c r="R396" t="s">
        <v>3196</v>
      </c>
      <c r="S396" t="s">
        <v>3210</v>
      </c>
    </row>
    <row r="397" spans="1:19" x14ac:dyDescent="0.2">
      <c r="A397" t="s">
        <v>3211</v>
      </c>
      <c r="B397" t="s">
        <v>26</v>
      </c>
      <c r="C397" t="s">
        <v>3212</v>
      </c>
      <c r="D397" t="s">
        <v>26</v>
      </c>
      <c r="E397" t="s">
        <v>26</v>
      </c>
      <c r="F397" t="s">
        <v>26</v>
      </c>
      <c r="G397" t="s">
        <v>3213</v>
      </c>
      <c r="H397" t="s">
        <v>26</v>
      </c>
      <c r="I397" t="s">
        <v>26</v>
      </c>
      <c r="J397" t="s">
        <v>26</v>
      </c>
      <c r="K397" t="s">
        <v>3214</v>
      </c>
      <c r="L397" t="s">
        <v>26</v>
      </c>
      <c r="M397" t="s">
        <v>26</v>
      </c>
      <c r="N397" t="s">
        <v>26</v>
      </c>
      <c r="O397" t="s">
        <v>26</v>
      </c>
      <c r="P397" t="s">
        <v>26</v>
      </c>
      <c r="Q397" t="s">
        <v>26</v>
      </c>
      <c r="R397" t="s">
        <v>3196</v>
      </c>
      <c r="S397" t="s">
        <v>3215</v>
      </c>
    </row>
    <row r="398" spans="1:19" x14ac:dyDescent="0.2">
      <c r="A398" t="s">
        <v>3216</v>
      </c>
      <c r="B398" t="s">
        <v>26</v>
      </c>
      <c r="C398" t="s">
        <v>3217</v>
      </c>
      <c r="D398" t="s">
        <v>26</v>
      </c>
      <c r="E398" t="s">
        <v>26</v>
      </c>
      <c r="F398" t="s">
        <v>26</v>
      </c>
      <c r="G398" t="s">
        <v>3218</v>
      </c>
      <c r="H398" t="s">
        <v>26</v>
      </c>
      <c r="I398" t="s">
        <v>26</v>
      </c>
      <c r="J398" t="s">
        <v>26</v>
      </c>
      <c r="K398" t="s">
        <v>3219</v>
      </c>
      <c r="L398" t="s">
        <v>3220</v>
      </c>
      <c r="M398" t="s">
        <v>26</v>
      </c>
      <c r="N398" t="s">
        <v>26</v>
      </c>
      <c r="O398" t="s">
        <v>26</v>
      </c>
      <c r="P398" t="s">
        <v>26</v>
      </c>
      <c r="Q398" t="s">
        <v>26</v>
      </c>
      <c r="R398" t="s">
        <v>3196</v>
      </c>
      <c r="S398" t="s">
        <v>3221</v>
      </c>
    </row>
    <row r="399" spans="1:19" x14ac:dyDescent="0.2">
      <c r="A399" t="s">
        <v>3222</v>
      </c>
      <c r="B399" t="s">
        <v>26</v>
      </c>
      <c r="C399" t="s">
        <v>3223</v>
      </c>
      <c r="D399" t="s">
        <v>26</v>
      </c>
      <c r="E399" t="s">
        <v>26</v>
      </c>
      <c r="F399" t="s">
        <v>26</v>
      </c>
      <c r="G399" t="s">
        <v>3224</v>
      </c>
      <c r="H399" t="s">
        <v>26</v>
      </c>
      <c r="I399" t="s">
        <v>26</v>
      </c>
      <c r="J399" t="s">
        <v>26</v>
      </c>
      <c r="K399" t="s">
        <v>3225</v>
      </c>
      <c r="L399" t="s">
        <v>3226</v>
      </c>
      <c r="M399" t="s">
        <v>3227</v>
      </c>
      <c r="N399" t="s">
        <v>26</v>
      </c>
      <c r="O399" t="s">
        <v>26</v>
      </c>
      <c r="P399" t="s">
        <v>26</v>
      </c>
      <c r="Q399" t="s">
        <v>26</v>
      </c>
      <c r="R399" t="s">
        <v>3196</v>
      </c>
      <c r="S399" t="s">
        <v>3228</v>
      </c>
    </row>
    <row r="400" spans="1:19" x14ac:dyDescent="0.2">
      <c r="A400" t="s">
        <v>3229</v>
      </c>
      <c r="B400" t="s">
        <v>26</v>
      </c>
      <c r="C400" t="s">
        <v>3230</v>
      </c>
      <c r="D400" t="s">
        <v>26</v>
      </c>
      <c r="E400" t="s">
        <v>26</v>
      </c>
      <c r="F400" t="s">
        <v>26</v>
      </c>
      <c r="G400" t="s">
        <v>3231</v>
      </c>
      <c r="H400" t="s">
        <v>26</v>
      </c>
      <c r="I400" t="s">
        <v>26</v>
      </c>
      <c r="J400" t="s">
        <v>26</v>
      </c>
      <c r="K400" t="s">
        <v>26</v>
      </c>
      <c r="L400" t="s">
        <v>26</v>
      </c>
      <c r="M400" t="s">
        <v>26</v>
      </c>
      <c r="N400" t="s">
        <v>26</v>
      </c>
      <c r="O400" t="s">
        <v>26</v>
      </c>
      <c r="P400" t="s">
        <v>26</v>
      </c>
      <c r="Q400" t="s">
        <v>26</v>
      </c>
      <c r="R400" t="s">
        <v>3196</v>
      </c>
      <c r="S400" t="s">
        <v>3232</v>
      </c>
    </row>
    <row r="401" spans="1:19" x14ac:dyDescent="0.2">
      <c r="A401" t="s">
        <v>3233</v>
      </c>
      <c r="B401" t="s">
        <v>26</v>
      </c>
      <c r="C401" t="s">
        <v>3234</v>
      </c>
      <c r="D401" t="s">
        <v>26</v>
      </c>
      <c r="E401" t="s">
        <v>26</v>
      </c>
      <c r="F401" t="s">
        <v>26</v>
      </c>
      <c r="G401" t="s">
        <v>3235</v>
      </c>
      <c r="H401" t="s">
        <v>26</v>
      </c>
      <c r="I401" t="s">
        <v>26</v>
      </c>
      <c r="J401" t="s">
        <v>26</v>
      </c>
      <c r="K401" t="s">
        <v>3236</v>
      </c>
      <c r="L401" t="s">
        <v>3233</v>
      </c>
      <c r="M401" t="s">
        <v>26</v>
      </c>
      <c r="N401" t="s">
        <v>26</v>
      </c>
      <c r="O401" t="s">
        <v>26</v>
      </c>
      <c r="P401" t="s">
        <v>26</v>
      </c>
      <c r="Q401" t="s">
        <v>26</v>
      </c>
      <c r="R401" t="s">
        <v>3196</v>
      </c>
      <c r="S401" t="s">
        <v>3237</v>
      </c>
    </row>
    <row r="402" spans="1:19" x14ac:dyDescent="0.2">
      <c r="A402" t="s">
        <v>3238</v>
      </c>
      <c r="B402" t="s">
        <v>26</v>
      </c>
      <c r="C402" t="s">
        <v>3239</v>
      </c>
      <c r="D402" t="s">
        <v>26</v>
      </c>
      <c r="E402" t="s">
        <v>26</v>
      </c>
      <c r="F402" t="s">
        <v>26</v>
      </c>
      <c r="G402" t="s">
        <v>3240</v>
      </c>
      <c r="H402" t="s">
        <v>26</v>
      </c>
      <c r="I402" t="s">
        <v>26</v>
      </c>
      <c r="J402" t="s">
        <v>26</v>
      </c>
      <c r="K402" t="s">
        <v>26</v>
      </c>
      <c r="L402" t="s">
        <v>3241</v>
      </c>
      <c r="M402" t="s">
        <v>3242</v>
      </c>
      <c r="N402" t="s">
        <v>26</v>
      </c>
      <c r="O402" t="s">
        <v>26</v>
      </c>
      <c r="P402" t="s">
        <v>26</v>
      </c>
      <c r="Q402" t="s">
        <v>26</v>
      </c>
      <c r="R402" t="s">
        <v>2317</v>
      </c>
      <c r="S402" t="s">
        <v>3243</v>
      </c>
    </row>
    <row r="403" spans="1:19" x14ac:dyDescent="0.2">
      <c r="A403" t="s">
        <v>3244</v>
      </c>
      <c r="B403" t="s">
        <v>26</v>
      </c>
      <c r="C403" t="s">
        <v>3245</v>
      </c>
      <c r="D403" t="s">
        <v>26</v>
      </c>
      <c r="E403" t="s">
        <v>26</v>
      </c>
      <c r="F403" t="s">
        <v>26</v>
      </c>
      <c r="G403" t="s">
        <v>3246</v>
      </c>
      <c r="H403" t="s">
        <v>26</v>
      </c>
      <c r="I403" t="s">
        <v>26</v>
      </c>
      <c r="J403" t="s">
        <v>26</v>
      </c>
      <c r="K403" t="s">
        <v>3247</v>
      </c>
      <c r="L403" t="s">
        <v>3248</v>
      </c>
      <c r="M403" t="s">
        <v>26</v>
      </c>
      <c r="N403" t="s">
        <v>26</v>
      </c>
      <c r="O403" t="s">
        <v>26</v>
      </c>
      <c r="P403" t="s">
        <v>26</v>
      </c>
      <c r="Q403" t="s">
        <v>26</v>
      </c>
      <c r="R403" t="s">
        <v>3196</v>
      </c>
      <c r="S403" t="s">
        <v>3249</v>
      </c>
    </row>
    <row r="404" spans="1:19" x14ac:dyDescent="0.2">
      <c r="A404" t="s">
        <v>3250</v>
      </c>
      <c r="B404" t="s">
        <v>26</v>
      </c>
      <c r="C404" t="s">
        <v>3251</v>
      </c>
      <c r="D404" t="s">
        <v>26</v>
      </c>
      <c r="E404" t="s">
        <v>26</v>
      </c>
      <c r="F404" t="s">
        <v>26</v>
      </c>
      <c r="G404" t="s">
        <v>3252</v>
      </c>
      <c r="H404" t="s">
        <v>26</v>
      </c>
      <c r="I404" t="s">
        <v>26</v>
      </c>
      <c r="J404" t="s">
        <v>26</v>
      </c>
      <c r="K404" t="s">
        <v>3253</v>
      </c>
      <c r="L404" t="s">
        <v>26</v>
      </c>
      <c r="M404" t="s">
        <v>3254</v>
      </c>
      <c r="N404" t="s">
        <v>26</v>
      </c>
      <c r="O404" t="s">
        <v>26</v>
      </c>
      <c r="P404" t="s">
        <v>26</v>
      </c>
      <c r="Q404" t="s">
        <v>26</v>
      </c>
      <c r="R404" t="s">
        <v>3196</v>
      </c>
      <c r="S404" t="s">
        <v>3255</v>
      </c>
    </row>
    <row r="405" spans="1:19" x14ac:dyDescent="0.2">
      <c r="A405" t="s">
        <v>3256</v>
      </c>
      <c r="B405" t="s">
        <v>26</v>
      </c>
      <c r="C405" t="s">
        <v>3257</v>
      </c>
      <c r="D405" t="s">
        <v>26</v>
      </c>
      <c r="E405" t="s">
        <v>26</v>
      </c>
      <c r="F405" t="s">
        <v>26</v>
      </c>
      <c r="G405" t="s">
        <v>3258</v>
      </c>
      <c r="H405" t="s">
        <v>26</v>
      </c>
      <c r="I405" t="s">
        <v>26</v>
      </c>
      <c r="J405" t="s">
        <v>26</v>
      </c>
      <c r="K405" t="s">
        <v>3259</v>
      </c>
      <c r="L405" t="s">
        <v>26</v>
      </c>
      <c r="M405" t="s">
        <v>26</v>
      </c>
      <c r="N405" t="s">
        <v>3260</v>
      </c>
      <c r="O405" t="s">
        <v>26</v>
      </c>
      <c r="P405" t="s">
        <v>26</v>
      </c>
      <c r="Q405" t="s">
        <v>26</v>
      </c>
      <c r="R405" t="s">
        <v>3196</v>
      </c>
      <c r="S405" t="s">
        <v>3261</v>
      </c>
    </row>
    <row r="406" spans="1:19" x14ac:dyDescent="0.2">
      <c r="A406" t="s">
        <v>3262</v>
      </c>
      <c r="B406" t="s">
        <v>26</v>
      </c>
      <c r="C406" t="s">
        <v>3263</v>
      </c>
      <c r="D406" t="s">
        <v>26</v>
      </c>
      <c r="E406" t="s">
        <v>26</v>
      </c>
      <c r="F406" t="s">
        <v>26</v>
      </c>
      <c r="G406" t="s">
        <v>3264</v>
      </c>
      <c r="H406" t="s">
        <v>26</v>
      </c>
      <c r="I406" t="s">
        <v>26</v>
      </c>
      <c r="J406" t="s">
        <v>26</v>
      </c>
      <c r="K406" t="s">
        <v>26</v>
      </c>
      <c r="L406" t="s">
        <v>26</v>
      </c>
      <c r="M406" t="s">
        <v>26</v>
      </c>
      <c r="N406" t="s">
        <v>26</v>
      </c>
      <c r="O406" t="s">
        <v>26</v>
      </c>
      <c r="P406" t="s">
        <v>26</v>
      </c>
      <c r="Q406" t="s">
        <v>26</v>
      </c>
      <c r="R406" t="s">
        <v>3196</v>
      </c>
      <c r="S406" t="s">
        <v>3265</v>
      </c>
    </row>
    <row r="407" spans="1:19" x14ac:dyDescent="0.2">
      <c r="A407" t="s">
        <v>3266</v>
      </c>
      <c r="B407" t="s">
        <v>3267</v>
      </c>
      <c r="C407" t="s">
        <v>3268</v>
      </c>
      <c r="D407" t="s">
        <v>22</v>
      </c>
      <c r="E407" t="b">
        <v>0</v>
      </c>
      <c r="F407" t="s">
        <v>23</v>
      </c>
      <c r="G407" t="s">
        <v>3269</v>
      </c>
      <c r="H407" t="s">
        <v>3270</v>
      </c>
      <c r="I407" s="2" t="d">
        <v>2024-01-01</v>
      </c>
      <c r="J407" t="s">
        <v>27</v>
      </c>
      <c r="K407" t="s">
        <v>3271</v>
      </c>
      <c r="L407" t="s">
        <v>3272</v>
      </c>
      <c r="M407" t="s">
        <v>3273</v>
      </c>
      <c r="N407" t="s">
        <v>26</v>
      </c>
      <c r="O407" t="s">
        <v>3274</v>
      </c>
      <c r="P407" t="s">
        <v>26</v>
      </c>
      <c r="Q407" s="1" t="d">
        <v>1950-11-01</v>
      </c>
      <c r="R407" t="s">
        <v>41</v>
      </c>
      <c r="S407" t="s">
        <v>3275</v>
      </c>
    </row>
    <row r="408" spans="1:19" x14ac:dyDescent="0.2">
      <c r="A408" t="s">
        <v>3276</v>
      </c>
      <c r="B408" t="s">
        <v>3276</v>
      </c>
      <c r="C408" t="s">
        <v>3277</v>
      </c>
      <c r="D408" t="s">
        <v>22</v>
      </c>
      <c r="E408" t="b">
        <v>0</v>
      </c>
      <c r="F408" t="s">
        <v>23</v>
      </c>
      <c r="G408" t="s">
        <v>3278</v>
      </c>
      <c r="H408" t="s">
        <v>3279</v>
      </c>
      <c r="I408" s="2" t="d">
        <v>2017-08-22</v>
      </c>
      <c r="J408" t="s">
        <v>27</v>
      </c>
      <c r="K408" t="s">
        <v>3280</v>
      </c>
      <c r="L408" t="s">
        <v>3281</v>
      </c>
      <c r="M408" t="s">
        <v>3282</v>
      </c>
      <c r="N408" t="s">
        <v>3283</v>
      </c>
      <c r="O408" t="s">
        <v>3284</v>
      </c>
      <c r="P408" t="s">
        <v>26</v>
      </c>
      <c r="Q408" s="3" t="d">
        <v>2026-01-10</v>
      </c>
      <c r="R408" t="s">
        <v>41</v>
      </c>
      <c r="S408" t="s">
        <v>3285</v>
      </c>
    </row>
    <row r="409" spans="1:19" x14ac:dyDescent="0.2">
      <c r="A409" t="s">
        <v>3286</v>
      </c>
      <c r="B409" t="s">
        <v>3287</v>
      </c>
      <c r="C409" t="s">
        <v>3288</v>
      </c>
      <c r="D409" t="s">
        <v>22</v>
      </c>
      <c r="E409" t="b">
        <v>0</v>
      </c>
      <c r="F409" t="s">
        <v>23</v>
      </c>
      <c r="G409" t="s">
        <v>3289</v>
      </c>
      <c r="H409" t="s">
        <v>2747</v>
      </c>
      <c r="I409" t="s">
        <v>26</v>
      </c>
      <c r="J409" t="s">
        <v>27</v>
      </c>
      <c r="K409" t="s">
        <v>26</v>
      </c>
      <c r="L409" t="s">
        <v>26</v>
      </c>
      <c r="M409" t="s">
        <v>3290</v>
      </c>
      <c r="N409" t="s">
        <v>26</v>
      </c>
      <c r="O409" t="s">
        <v>26</v>
      </c>
      <c r="P409" t="s">
        <v>26</v>
      </c>
      <c r="Q409" t="s">
        <v>54</v>
      </c>
      <c r="R409" t="s">
        <v>3291</v>
      </c>
      <c r="S409" t="s">
        <v>3292</v>
      </c>
    </row>
    <row r="410" spans="1:19" x14ac:dyDescent="0.2">
      <c r="A410" t="s">
        <v>3293</v>
      </c>
      <c r="B410" t="s">
        <v>3293</v>
      </c>
      <c r="C410" t="s">
        <v>3294</v>
      </c>
      <c r="D410" t="s">
        <v>22</v>
      </c>
      <c r="E410" t="b">
        <v>0</v>
      </c>
      <c r="F410" t="s">
        <v>23</v>
      </c>
      <c r="G410" t="s">
        <v>3295</v>
      </c>
      <c r="H410" t="s">
        <v>634</v>
      </c>
      <c r="I410" t="s">
        <v>26</v>
      </c>
      <c r="J410" t="s">
        <v>27</v>
      </c>
      <c r="K410" t="s">
        <v>3296</v>
      </c>
      <c r="L410" t="s">
        <v>3293</v>
      </c>
      <c r="M410" t="s">
        <v>3297</v>
      </c>
      <c r="N410" t="s">
        <v>26</v>
      </c>
      <c r="O410" t="s">
        <v>26</v>
      </c>
      <c r="P410" t="s">
        <v>26</v>
      </c>
      <c r="Q410" s="3" t="d">
        <v>2026-01-10</v>
      </c>
      <c r="R410" t="s">
        <v>3298</v>
      </c>
      <c r="S410" t="s">
        <v>3299</v>
      </c>
    </row>
    <row r="411" spans="1:19" x14ac:dyDescent="0.2">
      <c r="A411" t="s">
        <v>3300</v>
      </c>
      <c r="B411" t="s">
        <v>3301</v>
      </c>
      <c r="C411" t="s">
        <v>3302</v>
      </c>
      <c r="D411" t="s">
        <v>22</v>
      </c>
      <c r="E411" t="b">
        <v>0</v>
      </c>
      <c r="F411" t="s">
        <v>23</v>
      </c>
      <c r="G411" t="s">
        <v>3303</v>
      </c>
      <c r="H411" t="s">
        <v>188</v>
      </c>
      <c r="I411" t="s">
        <v>26</v>
      </c>
      <c r="J411" t="s">
        <v>27</v>
      </c>
      <c r="K411" t="s">
        <v>3304</v>
      </c>
      <c r="L411" t="s">
        <v>3300</v>
      </c>
      <c r="M411" t="s">
        <v>3305</v>
      </c>
      <c r="N411" t="s">
        <v>3306</v>
      </c>
      <c r="O411" t="s">
        <v>3307</v>
      </c>
      <c r="P411" t="s">
        <v>26</v>
      </c>
      <c r="Q411" s="1" t="d">
        <v>1950-11-01</v>
      </c>
      <c r="R411" t="s">
        <v>41</v>
      </c>
      <c r="S411" t="s">
        <v>3308</v>
      </c>
    </row>
    <row r="412" spans="1:19" x14ac:dyDescent="0.2">
      <c r="A412" t="s">
        <v>3309</v>
      </c>
      <c r="B412" t="s">
        <v>3309</v>
      </c>
      <c r="C412" t="s">
        <v>3310</v>
      </c>
      <c r="D412" t="s">
        <v>22</v>
      </c>
      <c r="E412" t="b">
        <v>0</v>
      </c>
      <c r="F412" t="s">
        <v>23</v>
      </c>
      <c r="G412" t="s">
        <v>3311</v>
      </c>
      <c r="H412" t="s">
        <v>3312</v>
      </c>
      <c r="I412" t="s">
        <v>26</v>
      </c>
      <c r="J412" t="s">
        <v>27</v>
      </c>
      <c r="K412" t="s">
        <v>3313</v>
      </c>
      <c r="L412" t="s">
        <v>3309</v>
      </c>
      <c r="M412" t="s">
        <v>3314</v>
      </c>
      <c r="N412" t="s">
        <v>26</v>
      </c>
      <c r="O412" t="s">
        <v>26</v>
      </c>
      <c r="P412">
        <v>33632300011</v>
      </c>
      <c r="Q412" t="s">
        <v>40</v>
      </c>
      <c r="R412" t="s">
        <v>41</v>
      </c>
      <c r="S412" t="s">
        <v>3315</v>
      </c>
    </row>
    <row r="413" spans="1:19" x14ac:dyDescent="0.2">
      <c r="A413" t="s">
        <v>3316</v>
      </c>
      <c r="B413" t="s">
        <v>3316</v>
      </c>
      <c r="C413" t="s">
        <v>3317</v>
      </c>
      <c r="D413" t="s">
        <v>22</v>
      </c>
      <c r="E413" t="b">
        <v>0</v>
      </c>
      <c r="F413" t="s">
        <v>23</v>
      </c>
      <c r="G413" t="s">
        <v>3318</v>
      </c>
      <c r="H413" t="s">
        <v>67</v>
      </c>
      <c r="I413" s="2" t="d">
        <v>2024-01-01</v>
      </c>
      <c r="J413" t="s">
        <v>27</v>
      </c>
      <c r="K413" t="s">
        <v>3319</v>
      </c>
      <c r="L413" t="s">
        <v>3320</v>
      </c>
      <c r="M413" t="s">
        <v>3321</v>
      </c>
      <c r="N413" t="s">
        <v>26</v>
      </c>
      <c r="O413" t="s">
        <v>3322</v>
      </c>
      <c r="P413" t="s">
        <v>26</v>
      </c>
      <c r="Q413" s="1" t="d">
        <v>1950-11-01</v>
      </c>
      <c r="R413" t="s">
        <v>41</v>
      </c>
      <c r="S413" t="s">
        <v>3323</v>
      </c>
    </row>
    <row r="414" spans="1:19" x14ac:dyDescent="0.2">
      <c r="A414" t="s">
        <v>3324</v>
      </c>
      <c r="B414" t="s">
        <v>3324</v>
      </c>
      <c r="C414" t="s">
        <v>3325</v>
      </c>
      <c r="D414" t="s">
        <v>22</v>
      </c>
      <c r="E414" t="b">
        <v>0</v>
      </c>
      <c r="F414" t="s">
        <v>23</v>
      </c>
      <c r="G414" t="s">
        <v>3326</v>
      </c>
      <c r="H414" t="s">
        <v>1627</v>
      </c>
      <c r="I414" s="2" t="d">
        <v>2019-01-01</v>
      </c>
      <c r="J414" t="s">
        <v>27</v>
      </c>
      <c r="K414" t="s">
        <v>3327</v>
      </c>
      <c r="L414" t="s">
        <v>3324</v>
      </c>
      <c r="M414" t="s">
        <v>3328</v>
      </c>
      <c r="N414" t="s">
        <v>3329</v>
      </c>
      <c r="O414" t="s">
        <v>3330</v>
      </c>
      <c r="P414">
        <v>9372953407</v>
      </c>
      <c r="Q414" s="1" t="d">
        <v>1950-11-01</v>
      </c>
      <c r="R414" t="s">
        <v>41</v>
      </c>
      <c r="S414" t="s">
        <v>3331</v>
      </c>
    </row>
    <row r="415" spans="1:19" x14ac:dyDescent="0.2">
      <c r="A415" t="s">
        <v>3332</v>
      </c>
      <c r="B415" t="s">
        <v>26</v>
      </c>
      <c r="C415" t="s">
        <v>3333</v>
      </c>
      <c r="D415" t="s">
        <v>26</v>
      </c>
      <c r="E415" t="s">
        <v>26</v>
      </c>
      <c r="F415" t="s">
        <v>26</v>
      </c>
      <c r="G415" t="s">
        <v>3334</v>
      </c>
      <c r="H415" t="s">
        <v>26</v>
      </c>
      <c r="I415" t="s">
        <v>26</v>
      </c>
      <c r="J415" t="s">
        <v>26</v>
      </c>
      <c r="K415" t="s">
        <v>3335</v>
      </c>
      <c r="L415" t="s">
        <v>3332</v>
      </c>
      <c r="M415" t="s">
        <v>26</v>
      </c>
      <c r="N415" t="s">
        <v>26</v>
      </c>
      <c r="O415" t="s">
        <v>26</v>
      </c>
      <c r="P415" t="s">
        <v>26</v>
      </c>
      <c r="Q415" t="s">
        <v>26</v>
      </c>
      <c r="R415" t="s">
        <v>1079</v>
      </c>
      <c r="S415" t="s">
        <v>3336</v>
      </c>
    </row>
    <row r="416" spans="1:19" x14ac:dyDescent="0.2">
      <c r="A416" t="s">
        <v>3337</v>
      </c>
      <c r="B416" t="s">
        <v>3337</v>
      </c>
      <c r="C416" t="s">
        <v>3338</v>
      </c>
      <c r="D416" t="s">
        <v>22</v>
      </c>
      <c r="E416" t="b">
        <v>0</v>
      </c>
      <c r="F416" t="s">
        <v>23</v>
      </c>
      <c r="G416" t="s">
        <v>3339</v>
      </c>
      <c r="H416" t="s">
        <v>2752</v>
      </c>
      <c r="I416" s="2" t="d">
        <v>2021-01-01</v>
      </c>
      <c r="J416" t="s">
        <v>27</v>
      </c>
      <c r="K416" t="s">
        <v>3340</v>
      </c>
      <c r="L416" t="s">
        <v>3337</v>
      </c>
      <c r="M416" t="s">
        <v>3341</v>
      </c>
      <c r="N416" t="s">
        <v>3342</v>
      </c>
      <c r="O416" t="s">
        <v>3343</v>
      </c>
      <c r="P416" t="s">
        <v>26</v>
      </c>
      <c r="Q416" t="s">
        <v>40</v>
      </c>
      <c r="R416" t="s">
        <v>41</v>
      </c>
      <c r="S416" t="s">
        <v>3344</v>
      </c>
    </row>
    <row r="417" spans="1:19" x14ac:dyDescent="0.2">
      <c r="A417" t="s">
        <v>3345</v>
      </c>
      <c r="B417" t="s">
        <v>3346</v>
      </c>
      <c r="C417" t="s">
        <v>3347</v>
      </c>
      <c r="D417" t="s">
        <v>22</v>
      </c>
      <c r="E417" t="b">
        <v>0</v>
      </c>
      <c r="F417" t="s">
        <v>23</v>
      </c>
      <c r="G417" t="s">
        <v>3348</v>
      </c>
      <c r="H417" t="s">
        <v>67</v>
      </c>
      <c r="I417" s="2" t="d">
        <v>2022-01-01</v>
      </c>
      <c r="J417" t="s">
        <v>27</v>
      </c>
      <c r="K417" t="s">
        <v>3349</v>
      </c>
      <c r="L417" t="s">
        <v>3350</v>
      </c>
      <c r="M417" t="s">
        <v>3351</v>
      </c>
      <c r="N417" t="s">
        <v>26</v>
      </c>
      <c r="O417" t="s">
        <v>26</v>
      </c>
      <c r="P417" t="s">
        <v>26</v>
      </c>
      <c r="Q417" t="s">
        <v>54</v>
      </c>
      <c r="R417" t="s">
        <v>41</v>
      </c>
      <c r="S417" t="s">
        <v>3352</v>
      </c>
    </row>
    <row r="418" spans="1:19" x14ac:dyDescent="0.2">
      <c r="A418" t="s">
        <v>3353</v>
      </c>
      <c r="B418" t="s">
        <v>3354</v>
      </c>
      <c r="C418" t="s">
        <v>3355</v>
      </c>
      <c r="D418" t="s">
        <v>22</v>
      </c>
      <c r="E418" t="b">
        <v>0</v>
      </c>
      <c r="F418" t="s">
        <v>23</v>
      </c>
      <c r="G418" t="s">
        <v>3356</v>
      </c>
      <c r="H418" t="s">
        <v>3357</v>
      </c>
      <c r="I418" t="s">
        <v>26</v>
      </c>
      <c r="J418" t="s">
        <v>27</v>
      </c>
      <c r="K418" t="s">
        <v>3358</v>
      </c>
      <c r="L418" t="s">
        <v>3359</v>
      </c>
      <c r="M418" t="s">
        <v>3360</v>
      </c>
      <c r="N418" t="s">
        <v>26</v>
      </c>
      <c r="O418" t="s">
        <v>3361</v>
      </c>
      <c r="P418" t="s">
        <v>3362</v>
      </c>
      <c r="Q418" s="3" t="d">
        <v>2026-01-10</v>
      </c>
      <c r="R418" t="s">
        <v>31</v>
      </c>
      <c r="S418" t="s">
        <v>3363</v>
      </c>
    </row>
    <row r="419" spans="1:19" x14ac:dyDescent="0.2">
      <c r="A419" t="s">
        <v>3364</v>
      </c>
      <c r="B419" t="s">
        <v>3365</v>
      </c>
      <c r="C419" t="s">
        <v>3366</v>
      </c>
      <c r="D419" t="s">
        <v>22</v>
      </c>
      <c r="E419" t="b">
        <v>0</v>
      </c>
      <c r="F419" t="s">
        <v>23</v>
      </c>
      <c r="G419" t="s">
        <v>3367</v>
      </c>
      <c r="H419" t="s">
        <v>1067</v>
      </c>
      <c r="I419" s="2" t="d">
        <v>2022-06-01</v>
      </c>
      <c r="J419" t="s">
        <v>27</v>
      </c>
      <c r="K419" t="s">
        <v>3368</v>
      </c>
      <c r="L419" t="s">
        <v>3369</v>
      </c>
      <c r="M419" t="s">
        <v>3370</v>
      </c>
      <c r="N419" t="s">
        <v>26</v>
      </c>
      <c r="O419" t="s">
        <v>3371</v>
      </c>
      <c r="P419" t="s">
        <v>26</v>
      </c>
      <c r="Q419" s="3" t="d">
        <v>2026-01-10</v>
      </c>
      <c r="R419" t="s">
        <v>41</v>
      </c>
      <c r="S419" t="s">
        <v>3372</v>
      </c>
    </row>
    <row r="420" spans="1:19" x14ac:dyDescent="0.2">
      <c r="A420" t="s">
        <v>3373</v>
      </c>
      <c r="B420" t="s">
        <v>3374</v>
      </c>
      <c r="C420" t="s">
        <v>3375</v>
      </c>
      <c r="D420" t="s">
        <v>22</v>
      </c>
      <c r="E420" t="b">
        <v>0</v>
      </c>
      <c r="F420" t="s">
        <v>23</v>
      </c>
      <c r="G420" t="s">
        <v>3376</v>
      </c>
      <c r="H420" t="s">
        <v>188</v>
      </c>
      <c r="I420" t="s">
        <v>26</v>
      </c>
      <c r="J420" t="s">
        <v>27</v>
      </c>
      <c r="K420" t="s">
        <v>3377</v>
      </c>
      <c r="L420" t="s">
        <v>3378</v>
      </c>
      <c r="M420" t="s">
        <v>3379</v>
      </c>
      <c r="N420" t="s">
        <v>3380</v>
      </c>
      <c r="O420" t="s">
        <v>3381</v>
      </c>
      <c r="P420" t="s">
        <v>26</v>
      </c>
      <c r="Q420" s="3" t="d">
        <v>2026-01-10</v>
      </c>
      <c r="R420" t="s">
        <v>1263</v>
      </c>
      <c r="S420" t="s">
        <v>3382</v>
      </c>
    </row>
    <row r="421" spans="1:19" x14ac:dyDescent="0.2">
      <c r="A421" t="s">
        <v>3383</v>
      </c>
      <c r="B421" t="s">
        <v>3384</v>
      </c>
      <c r="C421" t="s">
        <v>3385</v>
      </c>
      <c r="D421" t="s">
        <v>22</v>
      </c>
      <c r="E421" t="b">
        <v>0</v>
      </c>
      <c r="F421" t="s">
        <v>23</v>
      </c>
      <c r="G421" t="s">
        <v>3386</v>
      </c>
      <c r="H421" t="s">
        <v>3387</v>
      </c>
      <c r="I421" t="s">
        <v>26</v>
      </c>
      <c r="J421" t="s">
        <v>27</v>
      </c>
      <c r="K421" t="s">
        <v>3388</v>
      </c>
      <c r="L421" t="s">
        <v>3384</v>
      </c>
      <c r="M421" t="s">
        <v>3389</v>
      </c>
      <c r="N421" t="s">
        <v>26</v>
      </c>
      <c r="O421" t="s">
        <v>3390</v>
      </c>
      <c r="P421" t="s">
        <v>3391</v>
      </c>
      <c r="Q421" t="s">
        <v>54</v>
      </c>
      <c r="R421" t="s">
        <v>481</v>
      </c>
      <c r="S421" t="s">
        <v>3392</v>
      </c>
    </row>
    <row r="422" spans="1:19" x14ac:dyDescent="0.2">
      <c r="A422" t="s">
        <v>3393</v>
      </c>
      <c r="B422" t="s">
        <v>3393</v>
      </c>
      <c r="C422" t="s">
        <v>3394</v>
      </c>
      <c r="D422" t="s">
        <v>22</v>
      </c>
      <c r="E422" t="b">
        <v>0</v>
      </c>
      <c r="F422" t="s">
        <v>23</v>
      </c>
      <c r="G422" t="s">
        <v>3395</v>
      </c>
      <c r="H422" t="s">
        <v>3396</v>
      </c>
      <c r="I422" t="s">
        <v>26</v>
      </c>
      <c r="J422" t="s">
        <v>27</v>
      </c>
      <c r="K422" t="s">
        <v>3397</v>
      </c>
      <c r="L422" t="s">
        <v>3393</v>
      </c>
      <c r="M422" t="s">
        <v>3398</v>
      </c>
      <c r="N422" t="s">
        <v>3399</v>
      </c>
      <c r="O422" t="s">
        <v>3400</v>
      </c>
      <c r="P422" t="s">
        <v>3401</v>
      </c>
      <c r="Q422" t="s">
        <v>54</v>
      </c>
      <c r="R422" t="s">
        <v>2309</v>
      </c>
      <c r="S422" t="s">
        <v>3402</v>
      </c>
    </row>
    <row r="423" spans="1:19" x14ac:dyDescent="0.2">
      <c r="A423" t="s">
        <v>3403</v>
      </c>
      <c r="B423" t="s">
        <v>3403</v>
      </c>
      <c r="C423" t="s">
        <v>3404</v>
      </c>
      <c r="D423" t="s">
        <v>22</v>
      </c>
      <c r="E423" t="b">
        <v>0</v>
      </c>
      <c r="F423" t="s">
        <v>23</v>
      </c>
      <c r="G423" t="s">
        <v>3405</v>
      </c>
      <c r="H423" t="s">
        <v>67</v>
      </c>
      <c r="I423" t="s">
        <v>26</v>
      </c>
      <c r="J423" t="s">
        <v>27</v>
      </c>
      <c r="K423" t="s">
        <v>3406</v>
      </c>
      <c r="L423" t="s">
        <v>3403</v>
      </c>
      <c r="M423" t="s">
        <v>3407</v>
      </c>
      <c r="N423" t="s">
        <v>26</v>
      </c>
      <c r="O423" t="s">
        <v>3408</v>
      </c>
      <c r="P423" t="s">
        <v>26</v>
      </c>
      <c r="Q423" s="3" t="d">
        <v>2026-01-10</v>
      </c>
      <c r="R423" t="s">
        <v>412</v>
      </c>
      <c r="S423" t="s">
        <v>3409</v>
      </c>
    </row>
    <row r="424" spans="1:19" x14ac:dyDescent="0.2">
      <c r="A424" t="s">
        <v>3410</v>
      </c>
      <c r="B424" t="s">
        <v>3411</v>
      </c>
      <c r="C424" t="s">
        <v>3412</v>
      </c>
      <c r="D424" t="s">
        <v>22</v>
      </c>
      <c r="E424" t="b">
        <v>0</v>
      </c>
      <c r="F424" t="s">
        <v>23</v>
      </c>
      <c r="G424" t="s">
        <v>3413</v>
      </c>
      <c r="H424" t="s">
        <v>1030</v>
      </c>
      <c r="I424" s="2" t="d">
        <v>2020-01-01</v>
      </c>
      <c r="J424" t="s">
        <v>27</v>
      </c>
      <c r="K424" t="s">
        <v>3414</v>
      </c>
      <c r="L424" t="s">
        <v>3415</v>
      </c>
      <c r="M424" t="s">
        <v>3416</v>
      </c>
      <c r="N424" t="s">
        <v>3417</v>
      </c>
      <c r="O424" t="s">
        <v>26</v>
      </c>
      <c r="P424" t="s">
        <v>26</v>
      </c>
      <c r="Q424" s="3" t="d">
        <v>2026-01-10</v>
      </c>
      <c r="R424" t="s">
        <v>41</v>
      </c>
      <c r="S424" t="s">
        <v>3418</v>
      </c>
    </row>
    <row r="425" spans="1:19" x14ac:dyDescent="0.2">
      <c r="A425" t="s">
        <v>3419</v>
      </c>
      <c r="B425" t="s">
        <v>3419</v>
      </c>
      <c r="C425" t="s">
        <v>3420</v>
      </c>
      <c r="D425" t="s">
        <v>22</v>
      </c>
      <c r="E425" t="b">
        <v>0</v>
      </c>
      <c r="F425" t="s">
        <v>23</v>
      </c>
      <c r="G425" t="s">
        <v>3421</v>
      </c>
      <c r="H425" t="s">
        <v>3422</v>
      </c>
      <c r="I425" t="s">
        <v>26</v>
      </c>
      <c r="J425" t="s">
        <v>27</v>
      </c>
      <c r="K425" t="s">
        <v>3423</v>
      </c>
      <c r="L425" t="s">
        <v>3419</v>
      </c>
      <c r="M425" t="s">
        <v>3424</v>
      </c>
      <c r="N425" t="s">
        <v>3425</v>
      </c>
      <c r="O425" t="s">
        <v>3426</v>
      </c>
      <c r="P425">
        <v>8772115878</v>
      </c>
      <c r="Q425" s="1" t="d">
        <v>1950-11-01</v>
      </c>
      <c r="R425" t="s">
        <v>481</v>
      </c>
      <c r="S425" t="s">
        <v>3427</v>
      </c>
    </row>
    <row r="426" spans="1:19" x14ac:dyDescent="0.2">
      <c r="A426" t="s">
        <v>3428</v>
      </c>
      <c r="B426" t="s">
        <v>3429</v>
      </c>
      <c r="C426" t="s">
        <v>3430</v>
      </c>
      <c r="D426" t="s">
        <v>22</v>
      </c>
      <c r="E426" t="b">
        <v>0</v>
      </c>
      <c r="F426" t="s">
        <v>23</v>
      </c>
      <c r="G426" t="s">
        <v>3431</v>
      </c>
      <c r="H426" t="s">
        <v>1702</v>
      </c>
      <c r="I426" t="s">
        <v>26</v>
      </c>
      <c r="J426" t="s">
        <v>27</v>
      </c>
      <c r="K426" t="s">
        <v>3432</v>
      </c>
      <c r="L426" t="s">
        <v>3429</v>
      </c>
      <c r="M426" t="s">
        <v>3433</v>
      </c>
      <c r="N426" t="s">
        <v>3434</v>
      </c>
      <c r="O426" t="s">
        <v>26</v>
      </c>
      <c r="P426">
        <v>8960622585</v>
      </c>
      <c r="Q426" t="s">
        <v>40</v>
      </c>
      <c r="R426" t="s">
        <v>3435</v>
      </c>
      <c r="S426" t="s">
        <v>3436</v>
      </c>
    </row>
    <row r="427" spans="1:19" x14ac:dyDescent="0.2">
      <c r="A427" t="s">
        <v>3437</v>
      </c>
      <c r="B427" t="s">
        <v>3437</v>
      </c>
      <c r="C427" t="s">
        <v>3438</v>
      </c>
      <c r="D427" t="s">
        <v>22</v>
      </c>
      <c r="E427" t="b">
        <v>0</v>
      </c>
      <c r="F427" t="s">
        <v>23</v>
      </c>
      <c r="G427" t="s">
        <v>3439</v>
      </c>
      <c r="H427" t="s">
        <v>3440</v>
      </c>
      <c r="I427" t="s">
        <v>26</v>
      </c>
      <c r="J427" t="s">
        <v>27</v>
      </c>
      <c r="K427" t="s">
        <v>3441</v>
      </c>
      <c r="L427" t="s">
        <v>3437</v>
      </c>
      <c r="M427" t="s">
        <v>3442</v>
      </c>
      <c r="N427" t="s">
        <v>3443</v>
      </c>
      <c r="O427" t="s">
        <v>3444</v>
      </c>
      <c r="P427" t="s">
        <v>26</v>
      </c>
      <c r="Q427" s="3" t="d">
        <v>2026-01-10</v>
      </c>
      <c r="R427" t="s">
        <v>481</v>
      </c>
      <c r="S427" t="s">
        <v>3445</v>
      </c>
    </row>
    <row r="428" spans="1:19" x14ac:dyDescent="0.2">
      <c r="A428" t="s">
        <v>3446</v>
      </c>
      <c r="B428" t="s">
        <v>3446</v>
      </c>
      <c r="C428" t="s">
        <v>3447</v>
      </c>
      <c r="D428" t="s">
        <v>22</v>
      </c>
      <c r="E428" t="b">
        <v>0</v>
      </c>
      <c r="F428" t="s">
        <v>23</v>
      </c>
      <c r="G428" t="s">
        <v>3448</v>
      </c>
      <c r="H428" t="s">
        <v>3449</v>
      </c>
      <c r="I428" t="s">
        <v>26</v>
      </c>
      <c r="J428" t="s">
        <v>27</v>
      </c>
      <c r="K428" t="s">
        <v>3450</v>
      </c>
      <c r="L428" t="s">
        <v>3446</v>
      </c>
      <c r="M428" t="s">
        <v>3451</v>
      </c>
      <c r="N428" t="s">
        <v>26</v>
      </c>
      <c r="O428" t="s">
        <v>3452</v>
      </c>
      <c r="P428" t="s">
        <v>26</v>
      </c>
      <c r="Q428" s="1" t="d">
        <v>1950-11-01</v>
      </c>
      <c r="R428" t="s">
        <v>481</v>
      </c>
      <c r="S428" t="s">
        <v>3453</v>
      </c>
    </row>
    <row r="429" spans="1:19" x14ac:dyDescent="0.2">
      <c r="A429" t="s">
        <v>3454</v>
      </c>
      <c r="B429" t="s">
        <v>3455</v>
      </c>
      <c r="C429" t="s">
        <v>3456</v>
      </c>
      <c r="D429" t="s">
        <v>22</v>
      </c>
      <c r="E429" t="b">
        <v>0</v>
      </c>
      <c r="F429" t="s">
        <v>23</v>
      </c>
      <c r="G429" t="s">
        <v>3457</v>
      </c>
      <c r="H429" t="s">
        <v>188</v>
      </c>
      <c r="I429" t="s">
        <v>26</v>
      </c>
      <c r="J429" t="s">
        <v>27</v>
      </c>
      <c r="K429" t="s">
        <v>3458</v>
      </c>
      <c r="L429" t="s">
        <v>3459</v>
      </c>
      <c r="M429" t="s">
        <v>3460</v>
      </c>
      <c r="N429" t="s">
        <v>3461</v>
      </c>
      <c r="O429" t="s">
        <v>3462</v>
      </c>
      <c r="P429" t="s">
        <v>26</v>
      </c>
      <c r="Q429" s="1" t="d">
        <v>1950-11-01</v>
      </c>
      <c r="R429" t="s">
        <v>3463</v>
      </c>
      <c r="S429" t="s">
        <v>3464</v>
      </c>
    </row>
    <row r="430" spans="1:19" x14ac:dyDescent="0.2">
      <c r="A430" t="s">
        <v>3465</v>
      </c>
      <c r="B430" t="s">
        <v>3466</v>
      </c>
      <c r="C430" t="s">
        <v>3467</v>
      </c>
      <c r="D430" t="s">
        <v>22</v>
      </c>
      <c r="E430" t="b">
        <v>0</v>
      </c>
      <c r="F430" t="s">
        <v>26</v>
      </c>
      <c r="G430" t="s">
        <v>3468</v>
      </c>
      <c r="H430" t="s">
        <v>3469</v>
      </c>
      <c r="I430" t="s">
        <v>26</v>
      </c>
      <c r="J430" t="s">
        <v>27</v>
      </c>
      <c r="K430" t="s">
        <v>3470</v>
      </c>
      <c r="L430" t="s">
        <v>3471</v>
      </c>
      <c r="M430" t="s">
        <v>26</v>
      </c>
      <c r="N430" t="s">
        <v>26</v>
      </c>
      <c r="O430" t="s">
        <v>3472</v>
      </c>
      <c r="P430" t="s">
        <v>3473</v>
      </c>
      <c r="Q430" s="1" t="d">
        <v>1950-11-01</v>
      </c>
      <c r="R430" t="s">
        <v>269</v>
      </c>
      <c r="S430" t="s">
        <v>3474</v>
      </c>
    </row>
    <row r="431" spans="1:19" x14ac:dyDescent="0.2">
      <c r="A431" t="s">
        <v>3475</v>
      </c>
      <c r="B431" t="s">
        <v>3475</v>
      </c>
      <c r="C431" t="s">
        <v>3476</v>
      </c>
      <c r="D431" t="s">
        <v>22</v>
      </c>
      <c r="E431" t="b">
        <v>0</v>
      </c>
      <c r="F431" t="s">
        <v>23</v>
      </c>
      <c r="G431" t="s">
        <v>3477</v>
      </c>
      <c r="H431" t="s">
        <v>3478</v>
      </c>
      <c r="I431" t="s">
        <v>26</v>
      </c>
      <c r="J431" t="s">
        <v>27</v>
      </c>
      <c r="K431" t="s">
        <v>3479</v>
      </c>
      <c r="L431" t="s">
        <v>3475</v>
      </c>
      <c r="M431" t="s">
        <v>3480</v>
      </c>
      <c r="N431" t="s">
        <v>26</v>
      </c>
      <c r="O431" t="s">
        <v>26</v>
      </c>
      <c r="P431" t="s">
        <v>26</v>
      </c>
      <c r="Q431" s="1" t="d">
        <v>1950-11-01</v>
      </c>
      <c r="R431" t="s">
        <v>3481</v>
      </c>
      <c r="S431" t="s">
        <v>3482</v>
      </c>
    </row>
    <row r="432" spans="1:19" x14ac:dyDescent="0.2">
      <c r="A432" t="s">
        <v>3483</v>
      </c>
      <c r="B432" t="s">
        <v>3484</v>
      </c>
      <c r="C432" t="s">
        <v>3485</v>
      </c>
      <c r="D432" t="s">
        <v>22</v>
      </c>
      <c r="E432" t="b">
        <v>0</v>
      </c>
      <c r="F432" t="s">
        <v>23</v>
      </c>
      <c r="G432" t="s">
        <v>3486</v>
      </c>
      <c r="H432" t="s">
        <v>146</v>
      </c>
      <c r="I432" s="2" t="d">
        <v>2020-01-01</v>
      </c>
      <c r="J432" t="s">
        <v>27</v>
      </c>
      <c r="K432" t="s">
        <v>3487</v>
      </c>
      <c r="L432" t="s">
        <v>3488</v>
      </c>
      <c r="M432" t="s">
        <v>3489</v>
      </c>
      <c r="N432" t="s">
        <v>26</v>
      </c>
      <c r="O432" t="s">
        <v>26</v>
      </c>
      <c r="P432" t="s">
        <v>26</v>
      </c>
      <c r="Q432" t="s">
        <v>113</v>
      </c>
      <c r="R432" t="s">
        <v>2746</v>
      </c>
      <c r="S432" t="s">
        <v>3490</v>
      </c>
    </row>
    <row r="433" spans="1:19" x14ac:dyDescent="0.2">
      <c r="A433" t="s">
        <v>3491</v>
      </c>
      <c r="B433" t="s">
        <v>3491</v>
      </c>
      <c r="C433" t="s">
        <v>3492</v>
      </c>
      <c r="D433" t="s">
        <v>22</v>
      </c>
      <c r="E433" t="b">
        <v>0</v>
      </c>
      <c r="F433" t="s">
        <v>23</v>
      </c>
      <c r="G433" t="s">
        <v>3493</v>
      </c>
      <c r="H433" t="s">
        <v>3494</v>
      </c>
      <c r="I433" t="s">
        <v>26</v>
      </c>
      <c r="J433" t="s">
        <v>27</v>
      </c>
      <c r="K433" t="s">
        <v>3495</v>
      </c>
      <c r="L433" t="s">
        <v>3491</v>
      </c>
      <c r="M433" t="s">
        <v>3496</v>
      </c>
      <c r="N433" t="s">
        <v>26</v>
      </c>
      <c r="O433" t="s">
        <v>3497</v>
      </c>
      <c r="P433">
        <v>5303181487</v>
      </c>
      <c r="Q433" s="1" t="d">
        <v>1950-11-01</v>
      </c>
      <c r="R433" t="s">
        <v>1263</v>
      </c>
      <c r="S433" t="s">
        <v>3498</v>
      </c>
    </row>
    <row r="434" spans="1:19" x14ac:dyDescent="0.2">
      <c r="A434" t="s">
        <v>3499</v>
      </c>
      <c r="B434" t="s">
        <v>3499</v>
      </c>
      <c r="C434" t="s">
        <v>3500</v>
      </c>
      <c r="D434" t="s">
        <v>22</v>
      </c>
      <c r="E434" t="b">
        <v>0</v>
      </c>
      <c r="F434" t="s">
        <v>23</v>
      </c>
      <c r="G434" t="s">
        <v>3501</v>
      </c>
      <c r="H434" t="s">
        <v>3502</v>
      </c>
      <c r="I434" t="s">
        <v>26</v>
      </c>
      <c r="J434" t="s">
        <v>27</v>
      </c>
      <c r="K434" t="s">
        <v>3503</v>
      </c>
      <c r="L434" t="s">
        <v>3504</v>
      </c>
      <c r="M434" t="s">
        <v>3505</v>
      </c>
      <c r="N434" t="s">
        <v>26</v>
      </c>
      <c r="O434" t="s">
        <v>3506</v>
      </c>
      <c r="P434">
        <v>38641860113</v>
      </c>
      <c r="Q434" s="3" t="d">
        <v>2026-01-10</v>
      </c>
      <c r="R434" t="s">
        <v>3507</v>
      </c>
      <c r="S434" t="s">
        <v>3508</v>
      </c>
    </row>
    <row r="435" spans="1:19" x14ac:dyDescent="0.2">
      <c r="A435" t="s">
        <v>3509</v>
      </c>
      <c r="B435" t="s">
        <v>3509</v>
      </c>
      <c r="C435" t="s">
        <v>3510</v>
      </c>
      <c r="D435" t="s">
        <v>22</v>
      </c>
      <c r="E435" t="b">
        <v>0</v>
      </c>
      <c r="F435" t="s">
        <v>23</v>
      </c>
      <c r="G435" t="s">
        <v>3511</v>
      </c>
      <c r="H435" t="s">
        <v>3512</v>
      </c>
      <c r="I435" s="2" t="d">
        <v>2020-01-01</v>
      </c>
      <c r="J435" t="s">
        <v>27</v>
      </c>
      <c r="K435" t="s">
        <v>3513</v>
      </c>
      <c r="L435" t="s">
        <v>3514</v>
      </c>
      <c r="M435" t="s">
        <v>3515</v>
      </c>
      <c r="N435" t="s">
        <v>26</v>
      </c>
      <c r="O435" t="s">
        <v>3516</v>
      </c>
      <c r="P435" t="s">
        <v>26</v>
      </c>
      <c r="Q435" s="1" t="d">
        <v>1950-11-01</v>
      </c>
      <c r="R435" t="s">
        <v>41</v>
      </c>
      <c r="S435" t="s">
        <v>3517</v>
      </c>
    </row>
    <row r="436" spans="1:19" x14ac:dyDescent="0.2">
      <c r="A436" t="s">
        <v>3518</v>
      </c>
      <c r="B436" t="s">
        <v>3518</v>
      </c>
      <c r="C436" t="s">
        <v>3519</v>
      </c>
      <c r="D436" t="s">
        <v>22</v>
      </c>
      <c r="E436" t="b">
        <v>0</v>
      </c>
      <c r="F436" t="s">
        <v>23</v>
      </c>
      <c r="G436" t="s">
        <v>3520</v>
      </c>
      <c r="H436" t="s">
        <v>453</v>
      </c>
      <c r="I436" t="s">
        <v>26</v>
      </c>
      <c r="J436" t="s">
        <v>27</v>
      </c>
      <c r="K436" t="s">
        <v>3521</v>
      </c>
      <c r="L436" t="s">
        <v>3522</v>
      </c>
      <c r="M436" t="s">
        <v>3523</v>
      </c>
      <c r="N436" t="s">
        <v>26</v>
      </c>
      <c r="O436" t="s">
        <v>26</v>
      </c>
      <c r="P436" t="s">
        <v>26</v>
      </c>
      <c r="Q436" s="3" t="d">
        <v>2026-01-10</v>
      </c>
      <c r="R436" t="s">
        <v>3524</v>
      </c>
      <c r="S436" t="s">
        <v>3525</v>
      </c>
    </row>
    <row r="437" spans="1:19" x14ac:dyDescent="0.2">
      <c r="A437" t="s">
        <v>3526</v>
      </c>
      <c r="B437" t="s">
        <v>3526</v>
      </c>
      <c r="C437" t="s">
        <v>3527</v>
      </c>
      <c r="D437" t="s">
        <v>22</v>
      </c>
      <c r="E437" t="b">
        <v>0</v>
      </c>
      <c r="F437" t="s">
        <v>23</v>
      </c>
      <c r="G437" t="s">
        <v>3528</v>
      </c>
      <c r="H437" t="s">
        <v>119</v>
      </c>
      <c r="I437" t="s">
        <v>26</v>
      </c>
      <c r="J437" t="s">
        <v>27</v>
      </c>
      <c r="K437" t="s">
        <v>3529</v>
      </c>
      <c r="L437" t="s">
        <v>3526</v>
      </c>
      <c r="M437" t="s">
        <v>26</v>
      </c>
      <c r="N437" t="s">
        <v>26</v>
      </c>
      <c r="O437" t="s">
        <v>3530</v>
      </c>
      <c r="P437" t="s">
        <v>3531</v>
      </c>
      <c r="Q437" s="3" t="d">
        <v>2026-01-10</v>
      </c>
      <c r="R437" t="s">
        <v>1070</v>
      </c>
      <c r="S437" t="s">
        <v>3532</v>
      </c>
    </row>
    <row r="438" spans="1:19" x14ac:dyDescent="0.2">
      <c r="A438" t="s">
        <v>3533</v>
      </c>
      <c r="B438" t="s">
        <v>3533</v>
      </c>
      <c r="C438" t="s">
        <v>3534</v>
      </c>
      <c r="D438" t="s">
        <v>22</v>
      </c>
      <c r="E438" t="b">
        <v>0</v>
      </c>
      <c r="F438" t="s">
        <v>23</v>
      </c>
      <c r="G438" t="s">
        <v>3535</v>
      </c>
      <c r="H438" t="s">
        <v>3536</v>
      </c>
      <c r="I438" s="2" t="d">
        <v>2023-01-01</v>
      </c>
      <c r="J438" t="s">
        <v>27</v>
      </c>
      <c r="K438" t="s">
        <v>3537</v>
      </c>
      <c r="L438" t="s">
        <v>3538</v>
      </c>
      <c r="M438" t="s">
        <v>3539</v>
      </c>
      <c r="N438" t="s">
        <v>3540</v>
      </c>
      <c r="O438" t="s">
        <v>26</v>
      </c>
      <c r="P438" t="s">
        <v>26</v>
      </c>
      <c r="Q438" s="1" t="d">
        <v>1950-11-01</v>
      </c>
      <c r="R438" t="s">
        <v>3541</v>
      </c>
      <c r="S438" t="s">
        <v>3542</v>
      </c>
    </row>
    <row r="439" spans="1:19" x14ac:dyDescent="0.2">
      <c r="A439" t="s">
        <v>3543</v>
      </c>
      <c r="B439" t="s">
        <v>3543</v>
      </c>
      <c r="C439" t="s">
        <v>3544</v>
      </c>
      <c r="D439" t="s">
        <v>22</v>
      </c>
      <c r="E439" t="b">
        <v>0</v>
      </c>
      <c r="F439" t="s">
        <v>23</v>
      </c>
      <c r="G439" t="s">
        <v>3545</v>
      </c>
      <c r="H439" t="s">
        <v>2648</v>
      </c>
      <c r="I439" s="2" t="d">
        <v>2017-01-01</v>
      </c>
      <c r="J439" t="s">
        <v>27</v>
      </c>
      <c r="K439" t="s">
        <v>3546</v>
      </c>
      <c r="L439" t="s">
        <v>3543</v>
      </c>
      <c r="M439" t="s">
        <v>3547</v>
      </c>
      <c r="N439" t="s">
        <v>3548</v>
      </c>
      <c r="O439" t="s">
        <v>3549</v>
      </c>
      <c r="P439" t="s">
        <v>3550</v>
      </c>
      <c r="Q439" t="s">
        <v>621</v>
      </c>
      <c r="R439" t="s">
        <v>41</v>
      </c>
      <c r="S439" t="s">
        <v>3551</v>
      </c>
    </row>
    <row r="440" spans="1:19" x14ac:dyDescent="0.2">
      <c r="A440" t="s">
        <v>3552</v>
      </c>
      <c r="B440" t="s">
        <v>3552</v>
      </c>
      <c r="C440" t="s">
        <v>3553</v>
      </c>
      <c r="D440" t="s">
        <v>22</v>
      </c>
      <c r="E440" t="b">
        <v>0</v>
      </c>
      <c r="F440" t="s">
        <v>23</v>
      </c>
      <c r="G440" t="s">
        <v>3554</v>
      </c>
      <c r="H440" t="s">
        <v>3555</v>
      </c>
      <c r="I440" s="2" t="d">
        <v>2015-01-01</v>
      </c>
      <c r="J440" t="s">
        <v>27</v>
      </c>
      <c r="K440" t="s">
        <v>3556</v>
      </c>
      <c r="L440" t="s">
        <v>3552</v>
      </c>
      <c r="M440" t="s">
        <v>3557</v>
      </c>
      <c r="N440" t="s">
        <v>3558</v>
      </c>
      <c r="O440" t="s">
        <v>26</v>
      </c>
      <c r="P440" t="s">
        <v>26</v>
      </c>
      <c r="Q440" t="s">
        <v>54</v>
      </c>
      <c r="R440" t="s">
        <v>3559</v>
      </c>
      <c r="S440" t="s">
        <v>3560</v>
      </c>
    </row>
    <row r="441" spans="1:19" x14ac:dyDescent="0.2">
      <c r="A441" t="s">
        <v>3561</v>
      </c>
      <c r="B441" t="s">
        <v>3561</v>
      </c>
      <c r="C441" t="s">
        <v>3562</v>
      </c>
      <c r="D441" t="s">
        <v>22</v>
      </c>
      <c r="E441" t="b">
        <v>0</v>
      </c>
      <c r="F441" t="s">
        <v>23</v>
      </c>
      <c r="G441" t="s">
        <v>3563</v>
      </c>
      <c r="H441" t="s">
        <v>188</v>
      </c>
      <c r="I441" t="s">
        <v>26</v>
      </c>
      <c r="J441" t="s">
        <v>27</v>
      </c>
      <c r="K441" t="s">
        <v>3564</v>
      </c>
      <c r="L441" t="s">
        <v>26</v>
      </c>
      <c r="M441" t="s">
        <v>26</v>
      </c>
      <c r="N441" t="s">
        <v>3565</v>
      </c>
      <c r="O441" t="s">
        <v>3566</v>
      </c>
      <c r="P441" t="s">
        <v>26</v>
      </c>
      <c r="Q441" t="s">
        <v>26</v>
      </c>
      <c r="R441" t="s">
        <v>3567</v>
      </c>
      <c r="S441" t="s">
        <v>3568</v>
      </c>
    </row>
    <row r="442" spans="1:19" x14ac:dyDescent="0.2">
      <c r="A442" t="s">
        <v>3569</v>
      </c>
      <c r="B442" t="s">
        <v>3569</v>
      </c>
      <c r="C442" t="s">
        <v>3570</v>
      </c>
      <c r="D442" t="s">
        <v>22</v>
      </c>
      <c r="E442" t="b">
        <v>0</v>
      </c>
      <c r="F442" t="s">
        <v>23</v>
      </c>
      <c r="G442" t="s">
        <v>3571</v>
      </c>
      <c r="H442" t="s">
        <v>188</v>
      </c>
      <c r="I442" t="s">
        <v>26</v>
      </c>
      <c r="J442" t="s">
        <v>27</v>
      </c>
      <c r="K442" t="s">
        <v>3572</v>
      </c>
      <c r="L442" t="s">
        <v>3573</v>
      </c>
      <c r="M442" t="s">
        <v>3574</v>
      </c>
      <c r="N442" t="s">
        <v>3575</v>
      </c>
      <c r="O442" t="s">
        <v>26</v>
      </c>
      <c r="P442" t="s">
        <v>26</v>
      </c>
      <c r="Q442" s="3" t="d">
        <v>2026-01-10</v>
      </c>
      <c r="R442" t="s">
        <v>2758</v>
      </c>
      <c r="S442" t="s">
        <v>3576</v>
      </c>
    </row>
    <row r="443" spans="1:19" x14ac:dyDescent="0.2">
      <c r="A443" t="s">
        <v>3577</v>
      </c>
      <c r="B443" t="s">
        <v>3577</v>
      </c>
      <c r="C443" t="s">
        <v>3578</v>
      </c>
      <c r="D443" t="s">
        <v>22</v>
      </c>
      <c r="E443" t="b">
        <v>0</v>
      </c>
      <c r="F443" t="s">
        <v>23</v>
      </c>
      <c r="G443" t="s">
        <v>3579</v>
      </c>
      <c r="H443" t="s">
        <v>67</v>
      </c>
      <c r="I443" s="2" t="d">
        <v>2023-01-01</v>
      </c>
      <c r="J443" t="s">
        <v>27</v>
      </c>
      <c r="K443" t="s">
        <v>3580</v>
      </c>
      <c r="L443" t="s">
        <v>3581</v>
      </c>
      <c r="M443" t="s">
        <v>3582</v>
      </c>
      <c r="N443" t="s">
        <v>26</v>
      </c>
      <c r="O443" t="s">
        <v>26</v>
      </c>
      <c r="P443" t="s">
        <v>26</v>
      </c>
      <c r="Q443" s="1" t="d">
        <v>1950-11-01</v>
      </c>
      <c r="R443" t="s">
        <v>1058</v>
      </c>
      <c r="S443" t="s">
        <v>3583</v>
      </c>
    </row>
    <row r="444" spans="1:19" x14ac:dyDescent="0.2">
      <c r="A444" t="s">
        <v>3584</v>
      </c>
      <c r="B444" t="s">
        <v>26</v>
      </c>
      <c r="C444" t="s">
        <v>3585</v>
      </c>
      <c r="D444" t="s">
        <v>26</v>
      </c>
      <c r="E444" t="s">
        <v>26</v>
      </c>
      <c r="F444" t="s">
        <v>26</v>
      </c>
      <c r="G444" t="s">
        <v>3586</v>
      </c>
      <c r="H444" t="s">
        <v>26</v>
      </c>
      <c r="I444" t="s">
        <v>26</v>
      </c>
      <c r="J444" t="s">
        <v>26</v>
      </c>
      <c r="K444" t="s">
        <v>3587</v>
      </c>
      <c r="L444" t="s">
        <v>3588</v>
      </c>
      <c r="M444" t="s">
        <v>26</v>
      </c>
      <c r="N444" t="s">
        <v>26</v>
      </c>
      <c r="O444" t="s">
        <v>26</v>
      </c>
      <c r="P444" t="s">
        <v>26</v>
      </c>
      <c r="Q444" t="s">
        <v>26</v>
      </c>
      <c r="R444" t="s">
        <v>1263</v>
      </c>
      <c r="S444" t="s">
        <v>3589</v>
      </c>
    </row>
    <row r="445" spans="1:19" x14ac:dyDescent="0.2">
      <c r="A445" t="s">
        <v>3590</v>
      </c>
      <c r="B445" t="s">
        <v>3590</v>
      </c>
      <c r="C445" t="s">
        <v>3591</v>
      </c>
      <c r="D445" t="s">
        <v>22</v>
      </c>
      <c r="E445" t="b">
        <v>0</v>
      </c>
      <c r="F445" t="s">
        <v>23</v>
      </c>
      <c r="G445" t="s">
        <v>3592</v>
      </c>
      <c r="H445" t="s">
        <v>1886</v>
      </c>
      <c r="I445" s="2" t="d">
        <v>2021-10-01</v>
      </c>
      <c r="J445" t="s">
        <v>27</v>
      </c>
      <c r="K445" t="s">
        <v>3593</v>
      </c>
      <c r="L445" t="s">
        <v>3594</v>
      </c>
      <c r="M445" t="s">
        <v>3595</v>
      </c>
      <c r="N445" t="s">
        <v>3596</v>
      </c>
      <c r="O445" t="s">
        <v>26</v>
      </c>
      <c r="P445">
        <f>1-408-337-2730</f>
        <v>-3474</v>
      </c>
      <c r="Q445" s="1" t="d">
        <v>1950-11-01</v>
      </c>
      <c r="R445" t="s">
        <v>41</v>
      </c>
      <c r="S445" t="s">
        <v>3597</v>
      </c>
    </row>
    <row r="446" spans="1:19" x14ac:dyDescent="0.2">
      <c r="A446" t="s">
        <v>3598</v>
      </c>
      <c r="B446" t="s">
        <v>3598</v>
      </c>
      <c r="C446" t="s">
        <v>3599</v>
      </c>
      <c r="D446" t="s">
        <v>22</v>
      </c>
      <c r="E446" t="b">
        <v>0</v>
      </c>
      <c r="F446" t="s">
        <v>23</v>
      </c>
      <c r="G446" t="s">
        <v>3600</v>
      </c>
      <c r="H446" t="s">
        <v>3279</v>
      </c>
      <c r="I446" s="2" t="d">
        <v>2022-01-01</v>
      </c>
      <c r="J446" t="s">
        <v>27</v>
      </c>
      <c r="K446" t="s">
        <v>3601</v>
      </c>
      <c r="L446" t="s">
        <v>3598</v>
      </c>
      <c r="M446" t="s">
        <v>3602</v>
      </c>
      <c r="N446" t="s">
        <v>26</v>
      </c>
      <c r="O446" t="s">
        <v>3603</v>
      </c>
      <c r="P446">
        <v>46793035803</v>
      </c>
      <c r="Q446" s="1" t="d">
        <v>1950-11-01</v>
      </c>
      <c r="R446" t="s">
        <v>41</v>
      </c>
      <c r="S446" t="s">
        <v>3604</v>
      </c>
    </row>
    <row r="447" spans="1:19" x14ac:dyDescent="0.2">
      <c r="A447" t="s">
        <v>3605</v>
      </c>
      <c r="B447" t="s">
        <v>3606</v>
      </c>
      <c r="C447" t="s">
        <v>3607</v>
      </c>
      <c r="D447" t="s">
        <v>22</v>
      </c>
      <c r="E447" t="b">
        <v>0</v>
      </c>
      <c r="F447" t="s">
        <v>23</v>
      </c>
      <c r="G447" t="s">
        <v>3608</v>
      </c>
      <c r="H447" t="s">
        <v>2913</v>
      </c>
      <c r="I447" s="2" t="d">
        <v>2016-02-01</v>
      </c>
      <c r="J447" t="s">
        <v>27</v>
      </c>
      <c r="K447" t="s">
        <v>3609</v>
      </c>
      <c r="L447" t="s">
        <v>3610</v>
      </c>
      <c r="M447" t="s">
        <v>3611</v>
      </c>
      <c r="N447" t="s">
        <v>26</v>
      </c>
      <c r="O447" t="s">
        <v>3612</v>
      </c>
      <c r="P447" t="s">
        <v>3613</v>
      </c>
      <c r="Q447" t="s">
        <v>218</v>
      </c>
      <c r="R447" t="s">
        <v>41</v>
      </c>
      <c r="S447" t="s">
        <v>3614</v>
      </c>
    </row>
    <row r="448" spans="1:19" x14ac:dyDescent="0.2">
      <c r="A448" t="s">
        <v>3615</v>
      </c>
      <c r="B448" t="s">
        <v>3615</v>
      </c>
      <c r="C448" t="s">
        <v>3616</v>
      </c>
      <c r="D448" t="s">
        <v>22</v>
      </c>
      <c r="E448" t="b">
        <v>0</v>
      </c>
      <c r="F448" t="s">
        <v>23</v>
      </c>
      <c r="G448" t="s">
        <v>3617</v>
      </c>
      <c r="H448" t="s">
        <v>3618</v>
      </c>
      <c r="I448" s="2" t="d">
        <v>2022-01-01</v>
      </c>
      <c r="J448" t="s">
        <v>27</v>
      </c>
      <c r="K448" t="s">
        <v>3619</v>
      </c>
      <c r="L448" t="s">
        <v>3615</v>
      </c>
      <c r="M448" t="s">
        <v>3620</v>
      </c>
      <c r="N448" t="s">
        <v>26</v>
      </c>
      <c r="O448" t="s">
        <v>26</v>
      </c>
      <c r="P448" t="s">
        <v>26</v>
      </c>
      <c r="Q448" s="1" t="d">
        <v>1950-11-01</v>
      </c>
      <c r="R448" t="s">
        <v>3621</v>
      </c>
      <c r="S448" t="s">
        <v>3622</v>
      </c>
    </row>
    <row r="449" spans="1:19" x14ac:dyDescent="0.2">
      <c r="A449" t="s">
        <v>3623</v>
      </c>
      <c r="B449" t="s">
        <v>3623</v>
      </c>
      <c r="C449" t="s">
        <v>3624</v>
      </c>
      <c r="D449" t="s">
        <v>22</v>
      </c>
      <c r="E449" t="b">
        <v>0</v>
      </c>
      <c r="F449" t="s">
        <v>23</v>
      </c>
      <c r="G449" t="s">
        <v>3625</v>
      </c>
      <c r="H449" t="s">
        <v>67</v>
      </c>
      <c r="I449" s="2" t="d">
        <v>2023-01-01</v>
      </c>
      <c r="J449" t="s">
        <v>27</v>
      </c>
      <c r="K449" t="s">
        <v>3626</v>
      </c>
      <c r="L449" t="s">
        <v>3627</v>
      </c>
      <c r="M449" t="s">
        <v>3628</v>
      </c>
      <c r="N449" t="s">
        <v>26</v>
      </c>
      <c r="O449" t="s">
        <v>3629</v>
      </c>
      <c r="P449" t="s">
        <v>26</v>
      </c>
      <c r="Q449" s="3" t="d">
        <v>2026-01-10</v>
      </c>
      <c r="R449" t="s">
        <v>41</v>
      </c>
      <c r="S449" t="s">
        <v>3630</v>
      </c>
    </row>
    <row r="450" spans="1:19" x14ac:dyDescent="0.2">
      <c r="A450" t="s">
        <v>3631</v>
      </c>
      <c r="B450" t="s">
        <v>3631</v>
      </c>
      <c r="C450" t="s">
        <v>3632</v>
      </c>
      <c r="D450" t="s">
        <v>22</v>
      </c>
      <c r="E450" t="b">
        <v>0</v>
      </c>
      <c r="F450" t="s">
        <v>26</v>
      </c>
      <c r="G450" t="s">
        <v>3633</v>
      </c>
      <c r="H450" t="s">
        <v>26</v>
      </c>
      <c r="I450" t="s">
        <v>26</v>
      </c>
      <c r="J450" t="s">
        <v>27</v>
      </c>
      <c r="K450" t="s">
        <v>3634</v>
      </c>
      <c r="L450" t="s">
        <v>26</v>
      </c>
      <c r="M450" t="s">
        <v>26</v>
      </c>
      <c r="N450" t="s">
        <v>3635</v>
      </c>
      <c r="O450" t="s">
        <v>26</v>
      </c>
      <c r="P450" t="s">
        <v>26</v>
      </c>
      <c r="Q450" t="s">
        <v>26</v>
      </c>
      <c r="R450" t="s">
        <v>3636</v>
      </c>
      <c r="S450" t="s">
        <v>3637</v>
      </c>
    </row>
    <row r="451" spans="1:19" x14ac:dyDescent="0.2">
      <c r="A451" t="s">
        <v>3638</v>
      </c>
      <c r="B451" t="s">
        <v>3639</v>
      </c>
      <c r="C451" t="s">
        <v>3640</v>
      </c>
      <c r="D451" t="s">
        <v>22</v>
      </c>
      <c r="E451" t="b">
        <v>0</v>
      </c>
      <c r="F451" t="s">
        <v>23</v>
      </c>
      <c r="G451" t="s">
        <v>3641</v>
      </c>
      <c r="H451" t="s">
        <v>119</v>
      </c>
      <c r="I451" t="s">
        <v>26</v>
      </c>
      <c r="J451" t="s">
        <v>27</v>
      </c>
      <c r="K451" t="s">
        <v>3638</v>
      </c>
      <c r="L451" t="s">
        <v>3642</v>
      </c>
      <c r="M451" t="s">
        <v>3643</v>
      </c>
      <c r="N451" t="s">
        <v>3644</v>
      </c>
      <c r="O451" t="s">
        <v>26</v>
      </c>
      <c r="P451" t="s">
        <v>26</v>
      </c>
      <c r="Q451" t="s">
        <v>40</v>
      </c>
      <c r="R451" t="s">
        <v>41</v>
      </c>
      <c r="S451" t="s">
        <v>3645</v>
      </c>
    </row>
    <row r="452" spans="1:19" x14ac:dyDescent="0.2">
      <c r="A452" t="s">
        <v>3646</v>
      </c>
      <c r="B452" t="s">
        <v>3646</v>
      </c>
      <c r="C452" t="s">
        <v>3647</v>
      </c>
      <c r="D452" t="s">
        <v>22</v>
      </c>
      <c r="E452" t="b">
        <v>0</v>
      </c>
      <c r="F452" t="s">
        <v>23</v>
      </c>
      <c r="G452" t="s">
        <v>3648</v>
      </c>
      <c r="H452" t="s">
        <v>3649</v>
      </c>
      <c r="I452" s="2" t="d">
        <v>2022-01-01</v>
      </c>
      <c r="J452" t="s">
        <v>27</v>
      </c>
      <c r="K452" t="s">
        <v>3650</v>
      </c>
      <c r="L452" t="s">
        <v>3651</v>
      </c>
      <c r="M452" t="s">
        <v>3652</v>
      </c>
      <c r="N452" t="s">
        <v>26</v>
      </c>
      <c r="O452" t="s">
        <v>26</v>
      </c>
      <c r="P452" t="s">
        <v>3653</v>
      </c>
      <c r="Q452" s="1" t="d">
        <v>1950-11-01</v>
      </c>
      <c r="R452" t="s">
        <v>41</v>
      </c>
      <c r="S452" t="s">
        <v>3654</v>
      </c>
    </row>
    <row r="453" spans="1:19" x14ac:dyDescent="0.2">
      <c r="A453" t="s">
        <v>3655</v>
      </c>
      <c r="B453" t="s">
        <v>3655</v>
      </c>
      <c r="C453" t="s">
        <v>3656</v>
      </c>
      <c r="D453" t="s">
        <v>22</v>
      </c>
      <c r="E453" t="b">
        <v>0</v>
      </c>
      <c r="F453" t="s">
        <v>23</v>
      </c>
      <c r="G453" t="s">
        <v>3657</v>
      </c>
      <c r="H453" t="s">
        <v>3279</v>
      </c>
      <c r="I453" t="s">
        <v>26</v>
      </c>
      <c r="J453" t="s">
        <v>27</v>
      </c>
      <c r="K453" t="s">
        <v>3658</v>
      </c>
      <c r="L453" t="s">
        <v>3655</v>
      </c>
      <c r="M453" t="s">
        <v>3659</v>
      </c>
      <c r="N453" t="s">
        <v>26</v>
      </c>
      <c r="O453" t="s">
        <v>3660</v>
      </c>
      <c r="P453" t="s">
        <v>26</v>
      </c>
      <c r="Q453" s="3" t="d">
        <v>2026-01-10</v>
      </c>
      <c r="R453" t="s">
        <v>1193</v>
      </c>
      <c r="S453" t="s">
        <v>3661</v>
      </c>
    </row>
    <row r="454" spans="1:19" x14ac:dyDescent="0.2">
      <c r="A454" t="s">
        <v>3662</v>
      </c>
      <c r="B454" t="s">
        <v>3662</v>
      </c>
      <c r="C454" t="s">
        <v>3663</v>
      </c>
      <c r="D454" t="s">
        <v>22</v>
      </c>
      <c r="E454" t="b">
        <v>0</v>
      </c>
      <c r="F454" t="s">
        <v>23</v>
      </c>
      <c r="G454" t="s">
        <v>3664</v>
      </c>
      <c r="H454" t="s">
        <v>137</v>
      </c>
      <c r="I454" t="s">
        <v>26</v>
      </c>
      <c r="J454" t="s">
        <v>27</v>
      </c>
      <c r="K454" t="s">
        <v>3665</v>
      </c>
      <c r="L454" t="s">
        <v>3662</v>
      </c>
      <c r="M454" t="s">
        <v>3666</v>
      </c>
      <c r="N454" t="s">
        <v>26</v>
      </c>
      <c r="O454" t="s">
        <v>26</v>
      </c>
      <c r="P454" t="s">
        <v>26</v>
      </c>
      <c r="Q454" s="3" t="d">
        <v>2026-01-10</v>
      </c>
      <c r="R454" t="s">
        <v>269</v>
      </c>
      <c r="S454" t="s">
        <v>3667</v>
      </c>
    </row>
    <row r="455" spans="1:19" x14ac:dyDescent="0.2">
      <c r="A455" t="s">
        <v>3668</v>
      </c>
      <c r="B455" t="s">
        <v>26</v>
      </c>
      <c r="C455" t="s">
        <v>3669</v>
      </c>
      <c r="D455" t="s">
        <v>26</v>
      </c>
      <c r="E455" t="s">
        <v>26</v>
      </c>
      <c r="F455" t="s">
        <v>26</v>
      </c>
      <c r="G455" t="s">
        <v>3670</v>
      </c>
      <c r="H455" t="s">
        <v>26</v>
      </c>
      <c r="I455" t="s">
        <v>26</v>
      </c>
      <c r="J455" t="s">
        <v>26</v>
      </c>
      <c r="K455" t="s">
        <v>3671</v>
      </c>
      <c r="L455" t="s">
        <v>26</v>
      </c>
      <c r="M455" t="s">
        <v>26</v>
      </c>
      <c r="N455" t="s">
        <v>26</v>
      </c>
      <c r="O455" t="s">
        <v>26</v>
      </c>
      <c r="P455" t="s">
        <v>26</v>
      </c>
      <c r="Q455" t="s">
        <v>26</v>
      </c>
      <c r="R455" t="s">
        <v>3672</v>
      </c>
      <c r="S455" t="s">
        <v>3673</v>
      </c>
    </row>
    <row r="456" spans="1:19" x14ac:dyDescent="0.2">
      <c r="A456" t="s">
        <v>3674</v>
      </c>
      <c r="B456" t="s">
        <v>3674</v>
      </c>
      <c r="C456" t="s">
        <v>3675</v>
      </c>
      <c r="D456" t="s">
        <v>22</v>
      </c>
      <c r="E456" t="b">
        <v>0</v>
      </c>
      <c r="F456" t="s">
        <v>23</v>
      </c>
      <c r="G456" t="s">
        <v>3676</v>
      </c>
      <c r="H456" t="s">
        <v>246</v>
      </c>
      <c r="I456" t="s">
        <v>26</v>
      </c>
      <c r="J456" t="s">
        <v>27</v>
      </c>
      <c r="K456" t="s">
        <v>3677</v>
      </c>
      <c r="L456" t="s">
        <v>3674</v>
      </c>
      <c r="M456" t="s">
        <v>3678</v>
      </c>
      <c r="N456" t="s">
        <v>26</v>
      </c>
      <c r="O456" t="s">
        <v>26</v>
      </c>
      <c r="P456" t="s">
        <v>26</v>
      </c>
      <c r="Q456" s="1" t="d">
        <v>1950-11-01</v>
      </c>
      <c r="R456" t="s">
        <v>3679</v>
      </c>
      <c r="S456" t="s">
        <v>3680</v>
      </c>
    </row>
    <row r="457" spans="1:19" x14ac:dyDescent="0.2">
      <c r="A457" t="s">
        <v>3681</v>
      </c>
      <c r="B457" t="s">
        <v>3682</v>
      </c>
      <c r="C457" t="s">
        <v>3683</v>
      </c>
      <c r="D457" t="s">
        <v>22</v>
      </c>
      <c r="E457" t="b">
        <v>0</v>
      </c>
      <c r="F457" t="s">
        <v>23</v>
      </c>
      <c r="G457" t="s">
        <v>3684</v>
      </c>
      <c r="H457" t="s">
        <v>188</v>
      </c>
      <c r="I457" s="2" t="d">
        <v>2023-01-01</v>
      </c>
      <c r="J457" t="s">
        <v>27</v>
      </c>
      <c r="K457" t="s">
        <v>3685</v>
      </c>
      <c r="L457" t="s">
        <v>3686</v>
      </c>
      <c r="M457" t="s">
        <v>3687</v>
      </c>
      <c r="N457" t="s">
        <v>3688</v>
      </c>
      <c r="O457" t="s">
        <v>3689</v>
      </c>
      <c r="P457" t="s">
        <v>26</v>
      </c>
      <c r="Q457" t="s">
        <v>54</v>
      </c>
      <c r="R457" t="s">
        <v>3690</v>
      </c>
      <c r="S457" t="s">
        <v>3691</v>
      </c>
    </row>
    <row r="458" spans="1:19" x14ac:dyDescent="0.2">
      <c r="A458" t="s">
        <v>3692</v>
      </c>
      <c r="B458" t="s">
        <v>3692</v>
      </c>
      <c r="C458" t="s">
        <v>3693</v>
      </c>
      <c r="D458" t="s">
        <v>22</v>
      </c>
      <c r="E458" t="b">
        <v>0</v>
      </c>
      <c r="F458" t="s">
        <v>23</v>
      </c>
      <c r="G458" t="s">
        <v>3694</v>
      </c>
      <c r="H458" t="s">
        <v>682</v>
      </c>
      <c r="I458" s="2" t="d">
        <v>2019-01-01</v>
      </c>
      <c r="J458" t="s">
        <v>27</v>
      </c>
      <c r="K458" t="s">
        <v>3695</v>
      </c>
      <c r="L458" t="s">
        <v>3692</v>
      </c>
      <c r="M458" t="s">
        <v>3696</v>
      </c>
      <c r="N458" t="s">
        <v>26</v>
      </c>
      <c r="O458" t="s">
        <v>26</v>
      </c>
      <c r="P458" t="s">
        <v>26</v>
      </c>
      <c r="Q458" s="1" t="d">
        <v>1950-11-01</v>
      </c>
      <c r="R458" t="s">
        <v>41</v>
      </c>
      <c r="S458" t="s">
        <v>3697</v>
      </c>
    </row>
    <row r="459" spans="1:19" x14ac:dyDescent="0.2">
      <c r="A459" t="s">
        <v>3698</v>
      </c>
      <c r="B459" t="s">
        <v>3699</v>
      </c>
      <c r="C459" t="s">
        <v>3700</v>
      </c>
      <c r="D459" t="s">
        <v>22</v>
      </c>
      <c r="E459" t="b">
        <v>0</v>
      </c>
      <c r="F459" t="s">
        <v>23</v>
      </c>
      <c r="G459" t="s">
        <v>3701</v>
      </c>
      <c r="H459" t="s">
        <v>57</v>
      </c>
      <c r="I459" s="2" t="d">
        <v>2018-10-01</v>
      </c>
      <c r="J459" t="s">
        <v>27</v>
      </c>
      <c r="K459" t="s">
        <v>3702</v>
      </c>
      <c r="L459" t="s">
        <v>3699</v>
      </c>
      <c r="M459" t="s">
        <v>3703</v>
      </c>
      <c r="N459" t="s">
        <v>3704</v>
      </c>
      <c r="O459" t="s">
        <v>3705</v>
      </c>
      <c r="P459" t="s">
        <v>3706</v>
      </c>
      <c r="Q459" t="s">
        <v>54</v>
      </c>
      <c r="R459" t="s">
        <v>41</v>
      </c>
      <c r="S459" t="s">
        <v>3707</v>
      </c>
    </row>
    <row r="460" spans="1:19" x14ac:dyDescent="0.2">
      <c r="A460" t="s">
        <v>3708</v>
      </c>
      <c r="B460" t="s">
        <v>3709</v>
      </c>
      <c r="C460" t="s">
        <v>3710</v>
      </c>
      <c r="D460" t="s">
        <v>22</v>
      </c>
      <c r="E460" t="b">
        <v>0</v>
      </c>
      <c r="F460" t="s">
        <v>23</v>
      </c>
      <c r="G460" t="s">
        <v>3711</v>
      </c>
      <c r="H460" t="s">
        <v>691</v>
      </c>
      <c r="I460" s="2" t="d">
        <v>2023-01-01</v>
      </c>
      <c r="J460" t="s">
        <v>27</v>
      </c>
      <c r="K460" t="s">
        <v>3708</v>
      </c>
      <c r="L460" t="s">
        <v>3712</v>
      </c>
      <c r="M460" t="s">
        <v>3713</v>
      </c>
      <c r="N460" t="s">
        <v>26</v>
      </c>
      <c r="O460" t="s">
        <v>26</v>
      </c>
      <c r="P460" t="s">
        <v>26</v>
      </c>
      <c r="Q460" s="1" t="d">
        <v>1950-11-01</v>
      </c>
      <c r="R460" t="s">
        <v>41</v>
      </c>
      <c r="S460" t="s">
        <v>3714</v>
      </c>
    </row>
    <row r="461" spans="1:19" x14ac:dyDescent="0.2">
      <c r="A461" t="s">
        <v>3715</v>
      </c>
      <c r="B461" t="s">
        <v>26</v>
      </c>
      <c r="C461" t="s">
        <v>3716</v>
      </c>
      <c r="D461" t="s">
        <v>26</v>
      </c>
      <c r="E461" t="s">
        <v>26</v>
      </c>
      <c r="F461" t="s">
        <v>26</v>
      </c>
      <c r="G461" t="s">
        <v>3717</v>
      </c>
      <c r="H461" t="s">
        <v>26</v>
      </c>
      <c r="I461" t="s">
        <v>26</v>
      </c>
      <c r="J461" t="s">
        <v>26</v>
      </c>
      <c r="K461" t="s">
        <v>3718</v>
      </c>
      <c r="L461" t="s">
        <v>3719</v>
      </c>
      <c r="M461" t="s">
        <v>3720</v>
      </c>
      <c r="N461" t="s">
        <v>26</v>
      </c>
      <c r="O461" t="s">
        <v>26</v>
      </c>
      <c r="P461" t="s">
        <v>26</v>
      </c>
      <c r="Q461" t="s">
        <v>26</v>
      </c>
      <c r="R461" t="s">
        <v>3721</v>
      </c>
      <c r="S461" t="s">
        <v>3722</v>
      </c>
    </row>
    <row r="462" spans="1:19" x14ac:dyDescent="0.2">
      <c r="A462" t="s">
        <v>3723</v>
      </c>
      <c r="B462" t="s">
        <v>3723</v>
      </c>
      <c r="C462" t="s">
        <v>3724</v>
      </c>
      <c r="D462" t="s">
        <v>22</v>
      </c>
      <c r="E462" t="b">
        <v>0</v>
      </c>
      <c r="F462" t="s">
        <v>23</v>
      </c>
      <c r="G462" t="s">
        <v>3725</v>
      </c>
      <c r="H462" t="s">
        <v>3726</v>
      </c>
      <c r="I462" s="2" t="d">
        <v>2022-01-01</v>
      </c>
      <c r="J462" t="s">
        <v>27</v>
      </c>
      <c r="K462" t="s">
        <v>3727</v>
      </c>
      <c r="L462" t="s">
        <v>3728</v>
      </c>
      <c r="M462" t="s">
        <v>3729</v>
      </c>
      <c r="N462" t="s">
        <v>26</v>
      </c>
      <c r="O462" t="s">
        <v>3730</v>
      </c>
      <c r="P462" t="s">
        <v>3731</v>
      </c>
      <c r="Q462" t="s">
        <v>40</v>
      </c>
      <c r="R462" t="s">
        <v>3732</v>
      </c>
      <c r="S462" t="s">
        <v>3733</v>
      </c>
    </row>
    <row r="463" spans="1:19" x14ac:dyDescent="0.2">
      <c r="A463" t="s">
        <v>3734</v>
      </c>
      <c r="B463" t="s">
        <v>3735</v>
      </c>
      <c r="C463" t="s">
        <v>3736</v>
      </c>
      <c r="D463" t="s">
        <v>22</v>
      </c>
      <c r="E463" t="b">
        <v>0</v>
      </c>
      <c r="F463" t="s">
        <v>23</v>
      </c>
      <c r="G463" t="s">
        <v>3737</v>
      </c>
      <c r="H463" t="s">
        <v>137</v>
      </c>
      <c r="I463" t="s">
        <v>26</v>
      </c>
      <c r="J463" t="s">
        <v>27</v>
      </c>
      <c r="K463" t="s">
        <v>3738</v>
      </c>
      <c r="L463" t="s">
        <v>3739</v>
      </c>
      <c r="M463" t="s">
        <v>3740</v>
      </c>
      <c r="N463" t="s">
        <v>26</v>
      </c>
      <c r="O463" t="s">
        <v>3741</v>
      </c>
      <c r="P463" t="s">
        <v>3742</v>
      </c>
      <c r="Q463" t="s">
        <v>621</v>
      </c>
      <c r="R463" t="s">
        <v>41</v>
      </c>
      <c r="S463" t="s">
        <v>3743</v>
      </c>
    </row>
    <row r="464" spans="1:19" x14ac:dyDescent="0.2">
      <c r="A464" t="s">
        <v>3744</v>
      </c>
      <c r="B464" t="s">
        <v>3744</v>
      </c>
      <c r="C464" t="s">
        <v>3745</v>
      </c>
      <c r="D464" t="s">
        <v>22</v>
      </c>
      <c r="E464" t="b">
        <v>0</v>
      </c>
      <c r="F464" t="s">
        <v>23</v>
      </c>
      <c r="G464" t="s">
        <v>3746</v>
      </c>
      <c r="H464" t="s">
        <v>634</v>
      </c>
      <c r="I464" s="2" t="d">
        <v>2021-11-06</v>
      </c>
      <c r="J464" t="s">
        <v>27</v>
      </c>
      <c r="K464" t="s">
        <v>3747</v>
      </c>
      <c r="L464" t="s">
        <v>3744</v>
      </c>
      <c r="M464" t="s">
        <v>3748</v>
      </c>
      <c r="N464" t="s">
        <v>3749</v>
      </c>
      <c r="O464" t="s">
        <v>3750</v>
      </c>
      <c r="P464" t="s">
        <v>3751</v>
      </c>
      <c r="Q464" t="s">
        <v>218</v>
      </c>
      <c r="R464" t="s">
        <v>725</v>
      </c>
      <c r="S464" t="s">
        <v>3752</v>
      </c>
    </row>
    <row r="465" spans="1:19" x14ac:dyDescent="0.2">
      <c r="A465" t="s">
        <v>3753</v>
      </c>
      <c r="B465" t="s">
        <v>3753</v>
      </c>
      <c r="C465" t="s">
        <v>3754</v>
      </c>
      <c r="D465" t="s">
        <v>22</v>
      </c>
      <c r="E465" t="b">
        <v>0</v>
      </c>
      <c r="F465" t="s">
        <v>26</v>
      </c>
      <c r="G465" t="s">
        <v>3755</v>
      </c>
      <c r="H465" t="s">
        <v>3756</v>
      </c>
      <c r="I465" t="s">
        <v>26</v>
      </c>
      <c r="J465" t="s">
        <v>27</v>
      </c>
      <c r="K465" t="s">
        <v>3757</v>
      </c>
      <c r="L465" t="s">
        <v>3758</v>
      </c>
      <c r="M465" t="s">
        <v>3759</v>
      </c>
      <c r="N465" t="s">
        <v>26</v>
      </c>
      <c r="O465" t="s">
        <v>26</v>
      </c>
      <c r="P465" t="s">
        <v>26</v>
      </c>
      <c r="Q465" s="3" t="d">
        <v>2026-01-10</v>
      </c>
      <c r="R465" t="s">
        <v>3760</v>
      </c>
      <c r="S465" t="s">
        <v>3761</v>
      </c>
    </row>
    <row r="466" spans="1:19" x14ac:dyDescent="0.2">
      <c r="A466" t="s">
        <v>3762</v>
      </c>
      <c r="B466" t="s">
        <v>3762</v>
      </c>
      <c r="C466" t="s">
        <v>3763</v>
      </c>
      <c r="D466" t="s">
        <v>22</v>
      </c>
      <c r="E466" t="b">
        <v>0</v>
      </c>
      <c r="F466" t="s">
        <v>23</v>
      </c>
      <c r="G466" t="s">
        <v>3764</v>
      </c>
      <c r="H466" t="s">
        <v>137</v>
      </c>
      <c r="I466" s="2" t="d">
        <v>2023-01-01</v>
      </c>
      <c r="J466" t="s">
        <v>27</v>
      </c>
      <c r="K466" t="s">
        <v>3765</v>
      </c>
      <c r="L466" t="s">
        <v>3766</v>
      </c>
      <c r="M466" t="s">
        <v>3767</v>
      </c>
      <c r="N466" t="s">
        <v>26</v>
      </c>
      <c r="O466" t="s">
        <v>3768</v>
      </c>
      <c r="P466" t="s">
        <v>3769</v>
      </c>
      <c r="Q466" s="1" t="d">
        <v>1950-11-01</v>
      </c>
      <c r="R466" t="s">
        <v>41</v>
      </c>
      <c r="S466" t="s">
        <v>3770</v>
      </c>
    </row>
    <row r="467" spans="1:19" x14ac:dyDescent="0.2">
      <c r="A467" t="s">
        <v>3771</v>
      </c>
      <c r="B467" t="s">
        <v>3772</v>
      </c>
      <c r="C467" t="s">
        <v>3773</v>
      </c>
      <c r="D467" t="s">
        <v>22</v>
      </c>
      <c r="E467" t="b">
        <v>0</v>
      </c>
      <c r="F467" t="s">
        <v>23</v>
      </c>
      <c r="G467" t="s">
        <v>3774</v>
      </c>
      <c r="H467" t="s">
        <v>3775</v>
      </c>
      <c r="I467" t="s">
        <v>26</v>
      </c>
      <c r="J467" t="s">
        <v>27</v>
      </c>
      <c r="K467" t="s">
        <v>3776</v>
      </c>
      <c r="L467" t="s">
        <v>3771</v>
      </c>
      <c r="M467" t="s">
        <v>3777</v>
      </c>
      <c r="N467" t="s">
        <v>26</v>
      </c>
      <c r="O467" t="s">
        <v>26</v>
      </c>
      <c r="P467" t="s">
        <v>26</v>
      </c>
      <c r="Q467" t="s">
        <v>54</v>
      </c>
      <c r="R467" t="s">
        <v>1988</v>
      </c>
      <c r="S467" t="s">
        <v>3778</v>
      </c>
    </row>
    <row r="468" spans="1:19" x14ac:dyDescent="0.2">
      <c r="A468" t="s">
        <v>3779</v>
      </c>
      <c r="B468" t="s">
        <v>3779</v>
      </c>
      <c r="C468" t="s">
        <v>3780</v>
      </c>
      <c r="D468" t="s">
        <v>22</v>
      </c>
      <c r="E468" t="b">
        <v>0</v>
      </c>
      <c r="F468" t="s">
        <v>23</v>
      </c>
      <c r="G468" t="s">
        <v>3781</v>
      </c>
      <c r="H468" t="s">
        <v>67</v>
      </c>
      <c r="I468" s="2" t="d">
        <v>2015-01-01</v>
      </c>
      <c r="J468" t="s">
        <v>27</v>
      </c>
      <c r="K468" t="s">
        <v>3782</v>
      </c>
      <c r="L468" t="s">
        <v>3779</v>
      </c>
      <c r="M468" t="s">
        <v>26</v>
      </c>
      <c r="N468" t="s">
        <v>3783</v>
      </c>
      <c r="O468" t="s">
        <v>3784</v>
      </c>
      <c r="P468" t="s">
        <v>26</v>
      </c>
      <c r="Q468" s="3" t="d">
        <v>2026-01-10</v>
      </c>
      <c r="R468" t="s">
        <v>41</v>
      </c>
      <c r="S468" t="s">
        <v>3785</v>
      </c>
    </row>
    <row r="469" spans="1:19" x14ac:dyDescent="0.2">
      <c r="A469" t="s">
        <v>3786</v>
      </c>
      <c r="B469" t="s">
        <v>26</v>
      </c>
      <c r="C469" t="s">
        <v>3787</v>
      </c>
      <c r="D469" t="s">
        <v>26</v>
      </c>
      <c r="E469" t="s">
        <v>26</v>
      </c>
      <c r="F469" t="s">
        <v>26</v>
      </c>
      <c r="G469" t="s">
        <v>3788</v>
      </c>
      <c r="H469" t="s">
        <v>26</v>
      </c>
      <c r="I469" t="s">
        <v>26</v>
      </c>
      <c r="J469" t="s">
        <v>26</v>
      </c>
      <c r="K469" t="s">
        <v>3789</v>
      </c>
      <c r="L469" t="s">
        <v>3790</v>
      </c>
      <c r="M469" t="s">
        <v>3791</v>
      </c>
      <c r="N469" t="s">
        <v>3792</v>
      </c>
      <c r="O469" t="s">
        <v>26</v>
      </c>
      <c r="P469" t="s">
        <v>26</v>
      </c>
      <c r="Q469" t="s">
        <v>26</v>
      </c>
      <c r="R469" t="s">
        <v>2751</v>
      </c>
      <c r="S469" t="s">
        <v>3793</v>
      </c>
    </row>
    <row r="470" spans="1:19" x14ac:dyDescent="0.2">
      <c r="A470" t="s">
        <v>3794</v>
      </c>
      <c r="B470" t="s">
        <v>3794</v>
      </c>
      <c r="C470" t="s">
        <v>3795</v>
      </c>
      <c r="D470" t="s">
        <v>22</v>
      </c>
      <c r="E470" t="b">
        <v>0</v>
      </c>
      <c r="F470" t="s">
        <v>23</v>
      </c>
      <c r="G470" t="s">
        <v>3796</v>
      </c>
      <c r="H470" t="s">
        <v>3797</v>
      </c>
      <c r="I470" s="2" t="d">
        <v>2016-06-21</v>
      </c>
      <c r="J470" t="s">
        <v>27</v>
      </c>
      <c r="K470" t="s">
        <v>3798</v>
      </c>
      <c r="L470" t="s">
        <v>3794</v>
      </c>
      <c r="M470" t="s">
        <v>3799</v>
      </c>
      <c r="N470" t="s">
        <v>3800</v>
      </c>
      <c r="O470" t="s">
        <v>3801</v>
      </c>
      <c r="P470" t="s">
        <v>3802</v>
      </c>
      <c r="Q470" t="s">
        <v>218</v>
      </c>
      <c r="R470" t="s">
        <v>41</v>
      </c>
      <c r="S470" t="s">
        <v>3803</v>
      </c>
    </row>
    <row r="471" spans="1:19" x14ac:dyDescent="0.2">
      <c r="A471" t="s">
        <v>3804</v>
      </c>
      <c r="B471" t="s">
        <v>3804</v>
      </c>
      <c r="C471" t="s">
        <v>3805</v>
      </c>
      <c r="D471" t="s">
        <v>22</v>
      </c>
      <c r="E471" t="b">
        <v>0</v>
      </c>
      <c r="F471" t="s">
        <v>23</v>
      </c>
      <c r="G471" t="s">
        <v>3806</v>
      </c>
      <c r="H471" t="s">
        <v>1643</v>
      </c>
      <c r="I471" s="2" t="d">
        <v>2021-02-01</v>
      </c>
      <c r="J471" t="s">
        <v>27</v>
      </c>
      <c r="K471" t="s">
        <v>3807</v>
      </c>
      <c r="L471" t="s">
        <v>3804</v>
      </c>
      <c r="M471" t="s">
        <v>3808</v>
      </c>
      <c r="N471" t="s">
        <v>3809</v>
      </c>
      <c r="O471" t="s">
        <v>3810</v>
      </c>
      <c r="P471" t="s">
        <v>26</v>
      </c>
      <c r="Q471" s="1" t="d">
        <v>1950-11-01</v>
      </c>
      <c r="R471" t="s">
        <v>41</v>
      </c>
      <c r="S471" t="s">
        <v>3811</v>
      </c>
    </row>
    <row r="472" spans="1:19" x14ac:dyDescent="0.2">
      <c r="A472" t="s">
        <v>3812</v>
      </c>
      <c r="B472" t="s">
        <v>26</v>
      </c>
      <c r="C472" t="s">
        <v>3813</v>
      </c>
      <c r="D472" t="s">
        <v>26</v>
      </c>
      <c r="E472" t="s">
        <v>26</v>
      </c>
      <c r="F472" t="s">
        <v>26</v>
      </c>
      <c r="G472" t="s">
        <v>3814</v>
      </c>
      <c r="H472" t="s">
        <v>26</v>
      </c>
      <c r="I472" t="s">
        <v>26</v>
      </c>
      <c r="J472" t="s">
        <v>26</v>
      </c>
      <c r="K472" t="s">
        <v>3815</v>
      </c>
      <c r="L472" t="s">
        <v>3812</v>
      </c>
      <c r="M472" t="s">
        <v>3816</v>
      </c>
      <c r="N472" t="s">
        <v>26</v>
      </c>
      <c r="O472" t="s">
        <v>26</v>
      </c>
      <c r="P472" t="s">
        <v>26</v>
      </c>
      <c r="Q472" t="s">
        <v>26</v>
      </c>
      <c r="R472" t="s">
        <v>3817</v>
      </c>
      <c r="S472" t="s">
        <v>3818</v>
      </c>
    </row>
    <row r="473" spans="1:19" x14ac:dyDescent="0.2">
      <c r="A473" t="s">
        <v>3819</v>
      </c>
      <c r="B473" t="s">
        <v>26</v>
      </c>
      <c r="C473" t="s">
        <v>3820</v>
      </c>
      <c r="D473" t="s">
        <v>26</v>
      </c>
      <c r="E473" t="s">
        <v>26</v>
      </c>
      <c r="F473" t="s">
        <v>26</v>
      </c>
      <c r="G473" t="s">
        <v>3821</v>
      </c>
      <c r="H473" t="s">
        <v>26</v>
      </c>
      <c r="I473" t="s">
        <v>26</v>
      </c>
      <c r="J473" t="s">
        <v>26</v>
      </c>
      <c r="K473" t="s">
        <v>3822</v>
      </c>
      <c r="L473" t="s">
        <v>3819</v>
      </c>
      <c r="M473" t="s">
        <v>26</v>
      </c>
      <c r="N473" t="s">
        <v>26</v>
      </c>
      <c r="O473" t="s">
        <v>26</v>
      </c>
      <c r="P473" t="s">
        <v>26</v>
      </c>
      <c r="Q473" t="s">
        <v>26</v>
      </c>
      <c r="R473" t="s">
        <v>3817</v>
      </c>
      <c r="S473" t="s">
        <v>3823</v>
      </c>
    </row>
    <row r="474" spans="1:19" x14ac:dyDescent="0.2">
      <c r="A474" t="s">
        <v>3824</v>
      </c>
      <c r="B474" t="s">
        <v>26</v>
      </c>
      <c r="C474" t="s">
        <v>3825</v>
      </c>
      <c r="D474" t="s">
        <v>26</v>
      </c>
      <c r="E474" t="s">
        <v>26</v>
      </c>
      <c r="F474" t="s">
        <v>26</v>
      </c>
      <c r="G474" t="s">
        <v>3826</v>
      </c>
      <c r="H474" t="s">
        <v>26</v>
      </c>
      <c r="I474" t="s">
        <v>26</v>
      </c>
      <c r="J474" t="s">
        <v>26</v>
      </c>
      <c r="K474" t="s">
        <v>3827</v>
      </c>
      <c r="L474" t="s">
        <v>3828</v>
      </c>
      <c r="M474" t="s">
        <v>3829</v>
      </c>
      <c r="N474" t="s">
        <v>3830</v>
      </c>
      <c r="O474" t="s">
        <v>26</v>
      </c>
      <c r="P474" t="s">
        <v>26</v>
      </c>
      <c r="Q474" t="s">
        <v>26</v>
      </c>
      <c r="R474" t="s">
        <v>3831</v>
      </c>
      <c r="S474" t="s">
        <v>3832</v>
      </c>
    </row>
    <row r="475" spans="1:19" x14ac:dyDescent="0.2">
      <c r="A475" t="s">
        <v>3833</v>
      </c>
      <c r="B475" t="s">
        <v>26</v>
      </c>
      <c r="C475" t="s">
        <v>3834</v>
      </c>
      <c r="D475" t="s">
        <v>26</v>
      </c>
      <c r="E475" t="s">
        <v>26</v>
      </c>
      <c r="F475" t="s">
        <v>26</v>
      </c>
      <c r="G475" t="s">
        <v>3835</v>
      </c>
      <c r="H475" t="s">
        <v>26</v>
      </c>
      <c r="I475" t="s">
        <v>26</v>
      </c>
      <c r="J475" t="s">
        <v>26</v>
      </c>
      <c r="K475" t="s">
        <v>3836</v>
      </c>
      <c r="L475" t="s">
        <v>3833</v>
      </c>
      <c r="M475" t="s">
        <v>3837</v>
      </c>
      <c r="N475" t="s">
        <v>26</v>
      </c>
      <c r="O475" t="s">
        <v>26</v>
      </c>
      <c r="P475" t="s">
        <v>26</v>
      </c>
      <c r="Q475" t="s">
        <v>26</v>
      </c>
      <c r="R475" t="s">
        <v>2041</v>
      </c>
      <c r="S475" t="s">
        <v>3838</v>
      </c>
    </row>
    <row r="476" spans="1:19" x14ac:dyDescent="0.2">
      <c r="A476" t="s">
        <v>3839</v>
      </c>
      <c r="B476" t="s">
        <v>26</v>
      </c>
      <c r="C476" t="s">
        <v>3840</v>
      </c>
      <c r="D476" t="s">
        <v>26</v>
      </c>
      <c r="E476" t="s">
        <v>26</v>
      </c>
      <c r="F476" t="s">
        <v>26</v>
      </c>
      <c r="G476" t="s">
        <v>3841</v>
      </c>
      <c r="H476" t="s">
        <v>26</v>
      </c>
      <c r="I476" t="s">
        <v>26</v>
      </c>
      <c r="J476" t="s">
        <v>26</v>
      </c>
      <c r="K476" t="s">
        <v>3842</v>
      </c>
      <c r="L476" t="s">
        <v>3839</v>
      </c>
      <c r="M476" t="s">
        <v>3843</v>
      </c>
      <c r="N476" t="s">
        <v>26</v>
      </c>
      <c r="O476" t="s">
        <v>26</v>
      </c>
      <c r="P476" t="s">
        <v>26</v>
      </c>
      <c r="Q476" t="s">
        <v>26</v>
      </c>
      <c r="R476" t="s">
        <v>3844</v>
      </c>
      <c r="S476" t="s">
        <v>3845</v>
      </c>
    </row>
    <row r="477" spans="1:19" x14ac:dyDescent="0.2">
      <c r="A477" t="s">
        <v>3846</v>
      </c>
      <c r="B477" t="s">
        <v>3846</v>
      </c>
      <c r="C477" t="s">
        <v>3847</v>
      </c>
      <c r="D477" t="s">
        <v>22</v>
      </c>
      <c r="E477" t="b">
        <v>0</v>
      </c>
      <c r="F477" t="s">
        <v>23</v>
      </c>
      <c r="G477" t="s">
        <v>3848</v>
      </c>
      <c r="H477" t="s">
        <v>1451</v>
      </c>
      <c r="I477" t="s">
        <v>26</v>
      </c>
      <c r="J477" t="s">
        <v>27</v>
      </c>
      <c r="K477" t="s">
        <v>3849</v>
      </c>
      <c r="L477" t="s">
        <v>3846</v>
      </c>
      <c r="M477" t="s">
        <v>26</v>
      </c>
      <c r="N477" t="s">
        <v>26</v>
      </c>
      <c r="O477" t="s">
        <v>3850</v>
      </c>
      <c r="P477" t="s">
        <v>26</v>
      </c>
      <c r="Q477" s="3" t="d">
        <v>2026-01-10</v>
      </c>
      <c r="R477" t="s">
        <v>3851</v>
      </c>
      <c r="S477" t="s">
        <v>3852</v>
      </c>
    </row>
    <row r="478" spans="1:19" x14ac:dyDescent="0.2">
      <c r="A478" t="s">
        <v>3853</v>
      </c>
      <c r="B478" t="s">
        <v>3853</v>
      </c>
      <c r="C478" t="s">
        <v>3854</v>
      </c>
      <c r="D478" t="s">
        <v>22</v>
      </c>
      <c r="E478" t="b">
        <v>0</v>
      </c>
      <c r="F478" t="s">
        <v>23</v>
      </c>
      <c r="G478" t="s">
        <v>3855</v>
      </c>
      <c r="H478" t="s">
        <v>188</v>
      </c>
      <c r="I478" t="s">
        <v>26</v>
      </c>
      <c r="J478" t="s">
        <v>27</v>
      </c>
      <c r="K478" t="s">
        <v>3856</v>
      </c>
      <c r="L478" t="s">
        <v>3853</v>
      </c>
      <c r="M478" t="s">
        <v>3857</v>
      </c>
      <c r="N478" t="s">
        <v>3858</v>
      </c>
      <c r="O478" t="s">
        <v>3859</v>
      </c>
      <c r="P478" t="s">
        <v>26</v>
      </c>
      <c r="Q478" s="3" t="d">
        <v>2026-01-10</v>
      </c>
      <c r="R478" t="s">
        <v>3851</v>
      </c>
      <c r="S478" t="s">
        <v>3860</v>
      </c>
    </row>
    <row r="479" spans="1:19" x14ac:dyDescent="0.2">
      <c r="A479" t="s">
        <v>3861</v>
      </c>
      <c r="B479" t="s">
        <v>26</v>
      </c>
      <c r="C479" t="s">
        <v>3862</v>
      </c>
      <c r="D479" t="s">
        <v>26</v>
      </c>
      <c r="E479" t="s">
        <v>26</v>
      </c>
      <c r="F479" t="s">
        <v>26</v>
      </c>
      <c r="G479" t="s">
        <v>3863</v>
      </c>
      <c r="H479" t="s">
        <v>26</v>
      </c>
      <c r="I479" t="s">
        <v>26</v>
      </c>
      <c r="J479" t="s">
        <v>26</v>
      </c>
      <c r="K479" t="s">
        <v>3864</v>
      </c>
      <c r="L479" t="s">
        <v>3861</v>
      </c>
      <c r="M479" t="s">
        <v>3865</v>
      </c>
      <c r="N479" t="s">
        <v>26</v>
      </c>
      <c r="O479" t="s">
        <v>26</v>
      </c>
      <c r="P479" t="s">
        <v>26</v>
      </c>
      <c r="Q479" t="s">
        <v>26</v>
      </c>
      <c r="R479" t="s">
        <v>3866</v>
      </c>
      <c r="S479" t="s">
        <v>3867</v>
      </c>
    </row>
    <row r="480" spans="1:19" x14ac:dyDescent="0.2">
      <c r="A480" t="s">
        <v>3868</v>
      </c>
      <c r="B480" t="s">
        <v>26</v>
      </c>
      <c r="C480" t="s">
        <v>3869</v>
      </c>
      <c r="D480" t="s">
        <v>22</v>
      </c>
      <c r="E480" t="s">
        <v>26</v>
      </c>
      <c r="F480" t="s">
        <v>26</v>
      </c>
      <c r="G480" t="s">
        <v>3870</v>
      </c>
      <c r="H480" t="s">
        <v>26</v>
      </c>
      <c r="I480" t="s">
        <v>26</v>
      </c>
      <c r="J480" t="s">
        <v>26</v>
      </c>
      <c r="K480" t="s">
        <v>3871</v>
      </c>
      <c r="L480" t="s">
        <v>3872</v>
      </c>
      <c r="M480" t="s">
        <v>26</v>
      </c>
      <c r="N480" t="s">
        <v>3873</v>
      </c>
      <c r="O480" t="s">
        <v>26</v>
      </c>
      <c r="P480" t="s">
        <v>26</v>
      </c>
      <c r="Q480" t="s">
        <v>26</v>
      </c>
      <c r="R480" t="s">
        <v>3874</v>
      </c>
      <c r="S480" t="s">
        <v>3875</v>
      </c>
    </row>
    <row r="481" spans="1:19" x14ac:dyDescent="0.2">
      <c r="A481" t="s">
        <v>3876</v>
      </c>
      <c r="B481" t="s">
        <v>26</v>
      </c>
      <c r="C481" t="s">
        <v>3877</v>
      </c>
      <c r="D481" t="s">
        <v>26</v>
      </c>
      <c r="E481" t="s">
        <v>26</v>
      </c>
      <c r="F481" t="s">
        <v>26</v>
      </c>
      <c r="G481" t="s">
        <v>3878</v>
      </c>
      <c r="H481" t="s">
        <v>26</v>
      </c>
      <c r="I481" t="s">
        <v>26</v>
      </c>
      <c r="J481" t="s">
        <v>26</v>
      </c>
      <c r="K481" t="s">
        <v>26</v>
      </c>
      <c r="L481" t="s">
        <v>26</v>
      </c>
      <c r="M481" t="s">
        <v>26</v>
      </c>
      <c r="N481" t="s">
        <v>26</v>
      </c>
      <c r="O481" t="s">
        <v>26</v>
      </c>
      <c r="P481" t="s">
        <v>26</v>
      </c>
      <c r="Q481" t="s">
        <v>26</v>
      </c>
      <c r="R481" t="s">
        <v>3879</v>
      </c>
      <c r="S481" t="s">
        <v>3880</v>
      </c>
    </row>
    <row r="482" spans="1:19" x14ac:dyDescent="0.2">
      <c r="A482" t="s">
        <v>3881</v>
      </c>
      <c r="B482" t="s">
        <v>26</v>
      </c>
      <c r="C482" t="s">
        <v>3882</v>
      </c>
      <c r="D482" t="s">
        <v>26</v>
      </c>
      <c r="E482" t="s">
        <v>26</v>
      </c>
      <c r="F482" t="s">
        <v>26</v>
      </c>
      <c r="G482" t="s">
        <v>3883</v>
      </c>
      <c r="H482" t="s">
        <v>26</v>
      </c>
      <c r="I482" t="s">
        <v>26</v>
      </c>
      <c r="J482" t="s">
        <v>26</v>
      </c>
      <c r="K482" t="s">
        <v>3884</v>
      </c>
      <c r="L482" t="s">
        <v>3885</v>
      </c>
      <c r="M482" t="s">
        <v>26</v>
      </c>
      <c r="N482" t="s">
        <v>26</v>
      </c>
      <c r="O482" t="s">
        <v>26</v>
      </c>
      <c r="P482" t="s">
        <v>26</v>
      </c>
      <c r="Q482" t="s">
        <v>26</v>
      </c>
      <c r="R482" t="s">
        <v>3886</v>
      </c>
      <c r="S482" t="s">
        <v>3887</v>
      </c>
    </row>
    <row r="483" spans="1:19" x14ac:dyDescent="0.2">
      <c r="A483" t="s">
        <v>3888</v>
      </c>
      <c r="B483" t="s">
        <v>26</v>
      </c>
      <c r="C483" t="s">
        <v>3889</v>
      </c>
      <c r="D483" t="s">
        <v>26</v>
      </c>
      <c r="E483" t="s">
        <v>26</v>
      </c>
      <c r="F483" t="s">
        <v>26</v>
      </c>
      <c r="G483" t="s">
        <v>3890</v>
      </c>
      <c r="H483" t="s">
        <v>26</v>
      </c>
      <c r="I483" t="s">
        <v>26</v>
      </c>
      <c r="J483" t="s">
        <v>26</v>
      </c>
      <c r="K483" t="s">
        <v>3891</v>
      </c>
      <c r="L483" t="s">
        <v>3888</v>
      </c>
      <c r="M483" t="s">
        <v>3892</v>
      </c>
      <c r="N483" t="s">
        <v>26</v>
      </c>
      <c r="O483" t="s">
        <v>26</v>
      </c>
      <c r="P483" t="s">
        <v>26</v>
      </c>
      <c r="Q483" t="s">
        <v>26</v>
      </c>
      <c r="R483" t="s">
        <v>3893</v>
      </c>
      <c r="S483" t="s">
        <v>3894</v>
      </c>
    </row>
    <row r="484" spans="1:19" x14ac:dyDescent="0.2">
      <c r="A484" t="s">
        <v>3895</v>
      </c>
      <c r="B484" t="s">
        <v>26</v>
      </c>
      <c r="C484" t="s">
        <v>3896</v>
      </c>
      <c r="D484" t="s">
        <v>26</v>
      </c>
      <c r="E484" t="s">
        <v>26</v>
      </c>
      <c r="F484" t="s">
        <v>26</v>
      </c>
      <c r="G484" t="s">
        <v>3897</v>
      </c>
      <c r="H484" t="s">
        <v>26</v>
      </c>
      <c r="I484" t="s">
        <v>26</v>
      </c>
      <c r="J484" t="s">
        <v>26</v>
      </c>
      <c r="K484" t="s">
        <v>3898</v>
      </c>
      <c r="L484" t="s">
        <v>3899</v>
      </c>
      <c r="M484" t="s">
        <v>26</v>
      </c>
      <c r="N484" t="s">
        <v>3900</v>
      </c>
      <c r="O484" t="s">
        <v>26</v>
      </c>
      <c r="P484" t="s">
        <v>26</v>
      </c>
      <c r="Q484" t="s">
        <v>26</v>
      </c>
      <c r="R484" t="s">
        <v>3901</v>
      </c>
      <c r="S484" t="s">
        <v>3902</v>
      </c>
    </row>
    <row r="485" spans="1:19" x14ac:dyDescent="0.2">
      <c r="A485" t="s">
        <v>3903</v>
      </c>
      <c r="B485" t="s">
        <v>3903</v>
      </c>
      <c r="C485" t="s">
        <v>3904</v>
      </c>
      <c r="D485" t="s">
        <v>22</v>
      </c>
      <c r="E485" t="b">
        <v>0</v>
      </c>
      <c r="F485" t="s">
        <v>23</v>
      </c>
      <c r="G485" t="s">
        <v>3905</v>
      </c>
      <c r="H485" t="s">
        <v>1063</v>
      </c>
      <c r="I485" s="2" t="d">
        <v>2015-09-23</v>
      </c>
      <c r="J485" t="s">
        <v>27</v>
      </c>
      <c r="K485" t="s">
        <v>3906</v>
      </c>
      <c r="L485" t="s">
        <v>3903</v>
      </c>
      <c r="M485" t="s">
        <v>3907</v>
      </c>
      <c r="N485" t="s">
        <v>3908</v>
      </c>
      <c r="O485" t="s">
        <v>3909</v>
      </c>
      <c r="P485" t="s">
        <v>26</v>
      </c>
      <c r="Q485" t="s">
        <v>113</v>
      </c>
      <c r="R485" t="s">
        <v>41</v>
      </c>
      <c r="S485" t="s">
        <v>3910</v>
      </c>
    </row>
    <row r="486" spans="1:19" x14ac:dyDescent="0.2">
      <c r="A486" t="s">
        <v>3911</v>
      </c>
      <c r="B486" t="s">
        <v>26</v>
      </c>
      <c r="C486" t="s">
        <v>3912</v>
      </c>
      <c r="D486" t="s">
        <v>26</v>
      </c>
      <c r="E486" t="s">
        <v>26</v>
      </c>
      <c r="F486" t="s">
        <v>26</v>
      </c>
      <c r="G486" t="s">
        <v>3913</v>
      </c>
      <c r="H486" t="s">
        <v>26</v>
      </c>
      <c r="I486" t="s">
        <v>26</v>
      </c>
      <c r="J486" t="s">
        <v>26</v>
      </c>
      <c r="K486" t="s">
        <v>3912</v>
      </c>
      <c r="L486" t="s">
        <v>3911</v>
      </c>
      <c r="M486" t="s">
        <v>26</v>
      </c>
      <c r="N486" t="s">
        <v>26</v>
      </c>
      <c r="O486" t="s">
        <v>26</v>
      </c>
      <c r="P486" t="s">
        <v>26</v>
      </c>
      <c r="Q486" t="s">
        <v>26</v>
      </c>
      <c r="R486" t="s">
        <v>1252</v>
      </c>
      <c r="S486" t="s">
        <v>3914</v>
      </c>
    </row>
    <row r="487" spans="1:19" x14ac:dyDescent="0.2">
      <c r="A487" t="s">
        <v>3915</v>
      </c>
      <c r="B487" t="s">
        <v>3916</v>
      </c>
      <c r="C487" t="s">
        <v>3917</v>
      </c>
      <c r="D487" t="s">
        <v>22</v>
      </c>
      <c r="E487" t="b">
        <v>0</v>
      </c>
      <c r="F487" t="s">
        <v>23</v>
      </c>
      <c r="G487" t="s">
        <v>3918</v>
      </c>
      <c r="H487" t="s">
        <v>67</v>
      </c>
      <c r="I487" t="s">
        <v>26</v>
      </c>
      <c r="J487" t="s">
        <v>27</v>
      </c>
      <c r="K487" t="s">
        <v>3919</v>
      </c>
      <c r="L487" t="s">
        <v>3920</v>
      </c>
      <c r="M487" t="s">
        <v>3921</v>
      </c>
      <c r="N487" t="s">
        <v>26</v>
      </c>
      <c r="O487" t="s">
        <v>3922</v>
      </c>
      <c r="P487" t="s">
        <v>3923</v>
      </c>
      <c r="Q487" t="s">
        <v>54</v>
      </c>
      <c r="R487" t="s">
        <v>2830</v>
      </c>
      <c r="S487" t="s">
        <v>3924</v>
      </c>
    </row>
    <row r="488" spans="1:19" x14ac:dyDescent="0.2">
      <c r="A488" t="s">
        <v>3925</v>
      </c>
      <c r="B488" t="s">
        <v>26</v>
      </c>
      <c r="C488" t="s">
        <v>3926</v>
      </c>
      <c r="D488" t="s">
        <v>26</v>
      </c>
      <c r="E488" t="s">
        <v>26</v>
      </c>
      <c r="F488" t="s">
        <v>26</v>
      </c>
      <c r="G488" t="s">
        <v>3927</v>
      </c>
      <c r="H488" t="s">
        <v>26</v>
      </c>
      <c r="I488" t="s">
        <v>26</v>
      </c>
      <c r="J488" t="s">
        <v>26</v>
      </c>
      <c r="K488" t="s">
        <v>3928</v>
      </c>
      <c r="L488" t="s">
        <v>3929</v>
      </c>
      <c r="M488" t="s">
        <v>26</v>
      </c>
      <c r="N488" t="s">
        <v>26</v>
      </c>
      <c r="O488" t="s">
        <v>26</v>
      </c>
      <c r="P488" t="s">
        <v>26</v>
      </c>
      <c r="Q488" t="s">
        <v>26</v>
      </c>
      <c r="R488" t="s">
        <v>3930</v>
      </c>
      <c r="S488" t="s">
        <v>3931</v>
      </c>
    </row>
    <row r="489" spans="1:19" x14ac:dyDescent="0.2">
      <c r="A489" t="s">
        <v>3932</v>
      </c>
      <c r="B489" t="s">
        <v>3932</v>
      </c>
      <c r="C489" t="s">
        <v>3933</v>
      </c>
      <c r="D489" t="s">
        <v>22</v>
      </c>
      <c r="E489" t="b">
        <v>0</v>
      </c>
      <c r="F489" t="s">
        <v>23</v>
      </c>
      <c r="G489" t="s">
        <v>3934</v>
      </c>
      <c r="H489" t="s">
        <v>3935</v>
      </c>
      <c r="I489" t="s">
        <v>26</v>
      </c>
      <c r="J489" t="s">
        <v>27</v>
      </c>
      <c r="K489" t="s">
        <v>3936</v>
      </c>
      <c r="L489" t="s">
        <v>3932</v>
      </c>
      <c r="M489" t="s">
        <v>3937</v>
      </c>
      <c r="N489" t="s">
        <v>3938</v>
      </c>
      <c r="O489" t="s">
        <v>26</v>
      </c>
      <c r="P489" t="s">
        <v>26</v>
      </c>
      <c r="Q489" t="s">
        <v>40</v>
      </c>
      <c r="R489" t="s">
        <v>3930</v>
      </c>
      <c r="S489" t="s">
        <v>3939</v>
      </c>
    </row>
    <row r="490" spans="1:19" x14ac:dyDescent="0.2">
      <c r="A490" t="s">
        <v>3940</v>
      </c>
      <c r="B490" t="s">
        <v>3941</v>
      </c>
      <c r="C490" t="s">
        <v>3942</v>
      </c>
      <c r="D490" t="s">
        <v>22</v>
      </c>
      <c r="E490" t="b">
        <v>0</v>
      </c>
      <c r="F490" t="s">
        <v>26</v>
      </c>
      <c r="G490" t="s">
        <v>3943</v>
      </c>
      <c r="H490" t="s">
        <v>188</v>
      </c>
      <c r="I490" t="s">
        <v>26</v>
      </c>
      <c r="J490" t="s">
        <v>27</v>
      </c>
      <c r="K490" t="s">
        <v>3944</v>
      </c>
      <c r="L490" t="s">
        <v>3945</v>
      </c>
      <c r="M490" t="s">
        <v>3946</v>
      </c>
      <c r="N490" t="s">
        <v>26</v>
      </c>
      <c r="O490" t="s">
        <v>26</v>
      </c>
      <c r="P490" t="s">
        <v>3947</v>
      </c>
      <c r="Q490" s="1" t="d">
        <v>1950-11-01</v>
      </c>
      <c r="R490" t="s">
        <v>3948</v>
      </c>
      <c r="S490" t="s">
        <v>3949</v>
      </c>
    </row>
    <row r="491" spans="1:19" x14ac:dyDescent="0.2">
      <c r="A491" t="s">
        <v>3950</v>
      </c>
      <c r="B491" t="s">
        <v>26</v>
      </c>
      <c r="C491" t="s">
        <v>3951</v>
      </c>
      <c r="D491" t="s">
        <v>26</v>
      </c>
      <c r="E491" t="s">
        <v>26</v>
      </c>
      <c r="F491" t="s">
        <v>26</v>
      </c>
      <c r="G491" t="s">
        <v>3952</v>
      </c>
      <c r="H491" t="s">
        <v>26</v>
      </c>
      <c r="I491" t="s">
        <v>26</v>
      </c>
      <c r="J491" t="s">
        <v>26</v>
      </c>
      <c r="K491" t="s">
        <v>3953</v>
      </c>
      <c r="L491" t="s">
        <v>3954</v>
      </c>
      <c r="M491" t="s">
        <v>3955</v>
      </c>
      <c r="N491" t="s">
        <v>26</v>
      </c>
      <c r="O491" t="s">
        <v>26</v>
      </c>
      <c r="P491" t="s">
        <v>26</v>
      </c>
      <c r="Q491" t="s">
        <v>26</v>
      </c>
      <c r="R491" t="s">
        <v>3956</v>
      </c>
      <c r="S491" t="s">
        <v>3957</v>
      </c>
    </row>
    <row r="492" spans="1:19" x14ac:dyDescent="0.2">
      <c r="A492" t="s">
        <v>3958</v>
      </c>
      <c r="B492" t="s">
        <v>26</v>
      </c>
      <c r="C492" t="s">
        <v>3959</v>
      </c>
      <c r="D492" t="s">
        <v>26</v>
      </c>
      <c r="E492" t="s">
        <v>26</v>
      </c>
      <c r="F492" t="s">
        <v>26</v>
      </c>
      <c r="G492" t="s">
        <v>3960</v>
      </c>
      <c r="H492" t="s">
        <v>26</v>
      </c>
      <c r="I492" t="s">
        <v>26</v>
      </c>
      <c r="J492" t="s">
        <v>26</v>
      </c>
      <c r="K492" t="s">
        <v>3961</v>
      </c>
      <c r="L492" t="s">
        <v>3962</v>
      </c>
      <c r="M492" t="s">
        <v>26</v>
      </c>
      <c r="N492" t="s">
        <v>26</v>
      </c>
      <c r="O492" t="s">
        <v>26</v>
      </c>
      <c r="P492" t="s">
        <v>26</v>
      </c>
      <c r="Q492" t="s">
        <v>26</v>
      </c>
      <c r="R492" t="s">
        <v>3930</v>
      </c>
      <c r="S492" t="s">
        <v>3963</v>
      </c>
    </row>
    <row r="493" spans="1:19" x14ac:dyDescent="0.2">
      <c r="A493" t="s">
        <v>3964</v>
      </c>
      <c r="B493" t="s">
        <v>26</v>
      </c>
      <c r="C493" t="s">
        <v>3965</v>
      </c>
      <c r="D493" t="s">
        <v>26</v>
      </c>
      <c r="E493" t="s">
        <v>26</v>
      </c>
      <c r="F493" t="s">
        <v>26</v>
      </c>
      <c r="G493" t="s">
        <v>3966</v>
      </c>
      <c r="H493" t="s">
        <v>26</v>
      </c>
      <c r="I493" t="s">
        <v>26</v>
      </c>
      <c r="J493" t="s">
        <v>26</v>
      </c>
      <c r="K493" t="s">
        <v>26</v>
      </c>
      <c r="L493" t="s">
        <v>26</v>
      </c>
      <c r="M493" t="s">
        <v>26</v>
      </c>
      <c r="N493" t="s">
        <v>26</v>
      </c>
      <c r="O493" t="s">
        <v>26</v>
      </c>
      <c r="P493" t="s">
        <v>26</v>
      </c>
      <c r="Q493" t="s">
        <v>26</v>
      </c>
      <c r="R493" t="s">
        <v>3930</v>
      </c>
      <c r="S493" t="s">
        <v>3967</v>
      </c>
    </row>
    <row r="494" spans="1:19" x14ac:dyDescent="0.2">
      <c r="A494" t="s">
        <v>3968</v>
      </c>
      <c r="B494" t="s">
        <v>26</v>
      </c>
      <c r="C494" t="s">
        <v>3969</v>
      </c>
      <c r="D494" t="s">
        <v>26</v>
      </c>
      <c r="E494" t="s">
        <v>26</v>
      </c>
      <c r="F494" t="s">
        <v>26</v>
      </c>
      <c r="G494" t="s">
        <v>3970</v>
      </c>
      <c r="H494" t="s">
        <v>26</v>
      </c>
      <c r="I494" t="s">
        <v>26</v>
      </c>
      <c r="J494" t="s">
        <v>26</v>
      </c>
      <c r="K494" t="s">
        <v>3971</v>
      </c>
      <c r="L494" t="s">
        <v>3968</v>
      </c>
      <c r="M494" t="s">
        <v>26</v>
      </c>
      <c r="N494" t="s">
        <v>26</v>
      </c>
      <c r="O494" t="s">
        <v>26</v>
      </c>
      <c r="P494" t="s">
        <v>26</v>
      </c>
      <c r="Q494" t="s">
        <v>26</v>
      </c>
      <c r="R494" t="s">
        <v>3930</v>
      </c>
      <c r="S494" t="s">
        <v>3972</v>
      </c>
    </row>
    <row r="495" spans="1:19" x14ac:dyDescent="0.2">
      <c r="A495" t="s">
        <v>3973</v>
      </c>
      <c r="B495" t="s">
        <v>3974</v>
      </c>
      <c r="C495" t="s">
        <v>3975</v>
      </c>
      <c r="D495" t="s">
        <v>22</v>
      </c>
      <c r="E495" t="b">
        <v>0</v>
      </c>
      <c r="F495" t="s">
        <v>23</v>
      </c>
      <c r="G495" t="s">
        <v>3976</v>
      </c>
      <c r="H495" t="s">
        <v>1069</v>
      </c>
      <c r="I495" t="s">
        <v>26</v>
      </c>
      <c r="J495" t="s">
        <v>27</v>
      </c>
      <c r="K495" t="s">
        <v>3977</v>
      </c>
      <c r="L495" t="s">
        <v>3974</v>
      </c>
      <c r="M495" t="s">
        <v>3978</v>
      </c>
      <c r="N495" t="s">
        <v>26</v>
      </c>
      <c r="O495" t="s">
        <v>3979</v>
      </c>
      <c r="P495" t="s">
        <v>26</v>
      </c>
      <c r="Q495" s="1" t="d">
        <v>1950-11-01</v>
      </c>
      <c r="R495" t="s">
        <v>3980</v>
      </c>
      <c r="S495" t="s">
        <v>3981</v>
      </c>
    </row>
    <row r="496" spans="1:19" x14ac:dyDescent="0.2">
      <c r="A496" t="s">
        <v>3982</v>
      </c>
      <c r="B496" t="s">
        <v>26</v>
      </c>
      <c r="C496" t="s">
        <v>3983</v>
      </c>
      <c r="D496" t="s">
        <v>26</v>
      </c>
      <c r="E496" t="s">
        <v>26</v>
      </c>
      <c r="F496" t="s">
        <v>26</v>
      </c>
      <c r="G496" t="s">
        <v>3984</v>
      </c>
      <c r="H496" t="s">
        <v>26</v>
      </c>
      <c r="I496" t="s">
        <v>26</v>
      </c>
      <c r="J496" t="s">
        <v>26</v>
      </c>
      <c r="K496" t="s">
        <v>3985</v>
      </c>
      <c r="L496" t="s">
        <v>3982</v>
      </c>
      <c r="M496" t="s">
        <v>3986</v>
      </c>
      <c r="N496" t="s">
        <v>26</v>
      </c>
      <c r="O496" t="s">
        <v>26</v>
      </c>
      <c r="P496" t="s">
        <v>26</v>
      </c>
      <c r="Q496" t="s">
        <v>26</v>
      </c>
      <c r="R496" t="s">
        <v>3930</v>
      </c>
      <c r="S496" t="s">
        <v>3987</v>
      </c>
    </row>
    <row r="497" spans="1:19" x14ac:dyDescent="0.2">
      <c r="A497" t="s">
        <v>3988</v>
      </c>
      <c r="B497" t="s">
        <v>26</v>
      </c>
      <c r="C497" t="s">
        <v>3989</v>
      </c>
      <c r="D497" t="s">
        <v>26</v>
      </c>
      <c r="E497" t="s">
        <v>26</v>
      </c>
      <c r="F497" t="s">
        <v>26</v>
      </c>
      <c r="G497" t="s">
        <v>3990</v>
      </c>
      <c r="H497" t="s">
        <v>26</v>
      </c>
      <c r="I497" t="s">
        <v>26</v>
      </c>
      <c r="J497" t="s">
        <v>26</v>
      </c>
      <c r="K497" t="s">
        <v>3991</v>
      </c>
      <c r="L497" t="s">
        <v>3992</v>
      </c>
      <c r="M497" t="s">
        <v>26</v>
      </c>
      <c r="N497" t="s">
        <v>26</v>
      </c>
      <c r="O497" t="s">
        <v>26</v>
      </c>
      <c r="P497" t="s">
        <v>26</v>
      </c>
      <c r="Q497" t="s">
        <v>26</v>
      </c>
      <c r="R497" t="s">
        <v>3930</v>
      </c>
      <c r="S497" t="s">
        <v>3993</v>
      </c>
    </row>
    <row r="498" spans="1:19" x14ac:dyDescent="0.2">
      <c r="A498" t="s">
        <v>3994</v>
      </c>
      <c r="B498" t="s">
        <v>26</v>
      </c>
      <c r="C498" t="s">
        <v>3995</v>
      </c>
      <c r="D498" t="s">
        <v>26</v>
      </c>
      <c r="E498" t="s">
        <v>26</v>
      </c>
      <c r="F498" t="s">
        <v>26</v>
      </c>
      <c r="G498" t="s">
        <v>3996</v>
      </c>
      <c r="H498" t="s">
        <v>26</v>
      </c>
      <c r="I498" t="s">
        <v>26</v>
      </c>
      <c r="J498" t="s">
        <v>26</v>
      </c>
      <c r="K498" t="s">
        <v>3997</v>
      </c>
      <c r="L498" t="s">
        <v>3998</v>
      </c>
      <c r="M498" t="s">
        <v>26</v>
      </c>
      <c r="N498" t="s">
        <v>26</v>
      </c>
      <c r="O498" t="s">
        <v>26</v>
      </c>
      <c r="P498" t="s">
        <v>26</v>
      </c>
      <c r="Q498" t="s">
        <v>26</v>
      </c>
      <c r="R498" t="s">
        <v>3930</v>
      </c>
      <c r="S498" t="s">
        <v>3999</v>
      </c>
    </row>
    <row r="499" spans="1:19" x14ac:dyDescent="0.2">
      <c r="A499" t="s">
        <v>4000</v>
      </c>
      <c r="B499" t="s">
        <v>26</v>
      </c>
      <c r="C499" t="s">
        <v>4001</v>
      </c>
      <c r="D499" t="s">
        <v>26</v>
      </c>
      <c r="E499" t="s">
        <v>26</v>
      </c>
      <c r="F499" t="s">
        <v>26</v>
      </c>
      <c r="G499" t="s">
        <v>4002</v>
      </c>
      <c r="H499" t="s">
        <v>26</v>
      </c>
      <c r="I499" t="s">
        <v>26</v>
      </c>
      <c r="J499" t="s">
        <v>26</v>
      </c>
      <c r="K499" t="s">
        <v>4003</v>
      </c>
      <c r="L499" t="s">
        <v>26</v>
      </c>
      <c r="M499" t="s">
        <v>4004</v>
      </c>
      <c r="N499" t="s">
        <v>26</v>
      </c>
      <c r="O499" t="s">
        <v>26</v>
      </c>
      <c r="P499" t="s">
        <v>26</v>
      </c>
      <c r="Q499" t="s">
        <v>26</v>
      </c>
      <c r="R499" t="s">
        <v>3930</v>
      </c>
      <c r="S499" t="s">
        <v>4005</v>
      </c>
    </row>
    <row r="500" spans="1:19" x14ac:dyDescent="0.2">
      <c r="A500" t="s">
        <v>4006</v>
      </c>
      <c r="B500" t="s">
        <v>26</v>
      </c>
      <c r="C500" t="s">
        <v>4007</v>
      </c>
      <c r="D500" t="s">
        <v>26</v>
      </c>
      <c r="E500" t="s">
        <v>26</v>
      </c>
      <c r="F500" t="s">
        <v>26</v>
      </c>
      <c r="G500" t="s">
        <v>4008</v>
      </c>
      <c r="H500" t="s">
        <v>26</v>
      </c>
      <c r="I500" t="s">
        <v>26</v>
      </c>
      <c r="J500" t="s">
        <v>26</v>
      </c>
      <c r="K500" t="s">
        <v>26</v>
      </c>
      <c r="L500" t="s">
        <v>26</v>
      </c>
      <c r="M500" t="s">
        <v>26</v>
      </c>
      <c r="N500" t="s">
        <v>26</v>
      </c>
      <c r="O500" t="s">
        <v>26</v>
      </c>
      <c r="P500" t="s">
        <v>26</v>
      </c>
      <c r="Q500" t="s">
        <v>26</v>
      </c>
      <c r="R500" t="s">
        <v>3930</v>
      </c>
      <c r="S500" t="s">
        <v>4009</v>
      </c>
    </row>
    <row r="501" spans="1:19" x14ac:dyDescent="0.2">
      <c r="A501" t="s">
        <v>4010</v>
      </c>
      <c r="B501" t="s">
        <v>4011</v>
      </c>
      <c r="C501" t="s">
        <v>4012</v>
      </c>
      <c r="D501" t="s">
        <v>22</v>
      </c>
      <c r="E501" t="b">
        <v>0</v>
      </c>
      <c r="F501" t="s">
        <v>26</v>
      </c>
      <c r="G501" t="s">
        <v>4013</v>
      </c>
      <c r="H501" t="s">
        <v>4014</v>
      </c>
      <c r="I501" t="s">
        <v>26</v>
      </c>
      <c r="J501" t="s">
        <v>27</v>
      </c>
      <c r="K501" t="s">
        <v>4015</v>
      </c>
      <c r="L501" t="s">
        <v>4010</v>
      </c>
      <c r="M501" t="s">
        <v>4016</v>
      </c>
      <c r="N501" t="s">
        <v>26</v>
      </c>
      <c r="O501" t="s">
        <v>4017</v>
      </c>
      <c r="P501" t="s">
        <v>4018</v>
      </c>
      <c r="Q501" s="3" t="d">
        <v>2026-01-10</v>
      </c>
      <c r="R501" t="s">
        <v>588</v>
      </c>
      <c r="S501" t="s">
        <v>4019</v>
      </c>
    </row>
    <row r="502" spans="1:19" x14ac:dyDescent="0.2">
      <c r="A502" t="s">
        <v>4020</v>
      </c>
      <c r="B502" t="s">
        <v>4021</v>
      </c>
      <c r="C502" t="s">
        <v>4022</v>
      </c>
      <c r="D502" t="s">
        <v>22</v>
      </c>
      <c r="E502" t="b">
        <v>0</v>
      </c>
      <c r="F502" t="s">
        <v>23</v>
      </c>
      <c r="G502" t="s">
        <v>4023</v>
      </c>
      <c r="H502" t="s">
        <v>4024</v>
      </c>
      <c r="I502" s="2" t="d">
        <v>2005-01-01</v>
      </c>
      <c r="J502" t="s">
        <v>27</v>
      </c>
      <c r="K502" t="s">
        <v>4025</v>
      </c>
      <c r="L502" t="s">
        <v>4026</v>
      </c>
      <c r="M502" t="s">
        <v>4027</v>
      </c>
      <c r="N502" t="s">
        <v>4028</v>
      </c>
      <c r="O502" t="s">
        <v>4029</v>
      </c>
      <c r="P502" t="s">
        <v>26</v>
      </c>
      <c r="Q502" s="1" t="d">
        <v>1950-11-01</v>
      </c>
      <c r="R502" t="s">
        <v>41</v>
      </c>
      <c r="S502" t="s">
        <v>4030</v>
      </c>
    </row>
    <row r="503" spans="1:19" x14ac:dyDescent="0.2">
      <c r="A503" t="s">
        <v>4031</v>
      </c>
      <c r="B503" t="s">
        <v>4032</v>
      </c>
      <c r="C503" t="s">
        <v>4033</v>
      </c>
      <c r="D503" t="s">
        <v>22</v>
      </c>
      <c r="E503" t="b">
        <v>0</v>
      </c>
      <c r="F503" t="s">
        <v>26</v>
      </c>
      <c r="G503" t="s">
        <v>4034</v>
      </c>
      <c r="H503" t="s">
        <v>56</v>
      </c>
      <c r="I503" t="s">
        <v>26</v>
      </c>
      <c r="J503" t="s">
        <v>27</v>
      </c>
      <c r="K503" t="s">
        <v>26</v>
      </c>
      <c r="L503" t="s">
        <v>26</v>
      </c>
      <c r="M503" t="s">
        <v>26</v>
      </c>
      <c r="N503" t="s">
        <v>26</v>
      </c>
      <c r="O503" t="s">
        <v>26</v>
      </c>
      <c r="P503" t="s">
        <v>26</v>
      </c>
      <c r="Q503" t="s">
        <v>26</v>
      </c>
      <c r="R503" t="s">
        <v>1079</v>
      </c>
      <c r="S503" t="s">
        <v>4035</v>
      </c>
    </row>
    <row r="504" spans="1:19" x14ac:dyDescent="0.2">
      <c r="A504" t="s">
        <v>4036</v>
      </c>
      <c r="B504" t="s">
        <v>4036</v>
      </c>
      <c r="C504" t="s">
        <v>4037</v>
      </c>
      <c r="D504" t="s">
        <v>22</v>
      </c>
      <c r="E504" t="b">
        <v>0</v>
      </c>
      <c r="F504" t="s">
        <v>23</v>
      </c>
      <c r="G504" t="s">
        <v>4038</v>
      </c>
      <c r="H504" t="s">
        <v>1627</v>
      </c>
      <c r="I504" t="s">
        <v>26</v>
      </c>
      <c r="J504" t="s">
        <v>27</v>
      </c>
      <c r="K504" t="s">
        <v>4039</v>
      </c>
      <c r="L504" t="s">
        <v>4040</v>
      </c>
      <c r="M504" t="s">
        <v>26</v>
      </c>
      <c r="N504" t="s">
        <v>26</v>
      </c>
      <c r="O504" t="s">
        <v>26</v>
      </c>
      <c r="P504" t="s">
        <v>26</v>
      </c>
      <c r="Q504" s="1" t="d">
        <v>1950-11-01</v>
      </c>
      <c r="R504" t="s">
        <v>2213</v>
      </c>
      <c r="S504" t="s">
        <v>4041</v>
      </c>
    </row>
    <row r="505" spans="1:19" x14ac:dyDescent="0.2">
      <c r="A505" t="s">
        <v>4042</v>
      </c>
      <c r="B505" t="s">
        <v>4043</v>
      </c>
      <c r="C505" t="s">
        <v>4044</v>
      </c>
      <c r="D505" t="s">
        <v>22</v>
      </c>
      <c r="E505" t="b">
        <v>0</v>
      </c>
      <c r="F505" t="s">
        <v>23</v>
      </c>
      <c r="G505" t="s">
        <v>4045</v>
      </c>
      <c r="H505" t="s">
        <v>339</v>
      </c>
      <c r="I505" s="2" t="d">
        <v>2012-01-01</v>
      </c>
      <c r="J505" t="s">
        <v>27</v>
      </c>
      <c r="K505" t="s">
        <v>4046</v>
      </c>
      <c r="L505" t="s">
        <v>4047</v>
      </c>
      <c r="M505" t="s">
        <v>4048</v>
      </c>
      <c r="N505" t="s">
        <v>4049</v>
      </c>
      <c r="O505" t="s">
        <v>4050</v>
      </c>
      <c r="P505" t="s">
        <v>4051</v>
      </c>
      <c r="Q505" t="s">
        <v>113</v>
      </c>
      <c r="R505" t="s">
        <v>41</v>
      </c>
      <c r="S505" t="s">
        <v>4052</v>
      </c>
    </row>
    <row r="506" spans="1:19" x14ac:dyDescent="0.2">
      <c r="A506" t="s">
        <v>4053</v>
      </c>
      <c r="B506" t="s">
        <v>4053</v>
      </c>
      <c r="C506" t="s">
        <v>4054</v>
      </c>
      <c r="D506" t="s">
        <v>22</v>
      </c>
      <c r="E506" t="b">
        <v>0</v>
      </c>
      <c r="F506" t="s">
        <v>23</v>
      </c>
      <c r="G506" t="s">
        <v>4055</v>
      </c>
      <c r="H506" t="s">
        <v>4056</v>
      </c>
      <c r="I506" t="s">
        <v>26</v>
      </c>
      <c r="J506" t="s">
        <v>27</v>
      </c>
      <c r="K506" t="s">
        <v>4057</v>
      </c>
      <c r="L506" t="s">
        <v>26</v>
      </c>
      <c r="M506" t="s">
        <v>4058</v>
      </c>
      <c r="N506" t="s">
        <v>4059</v>
      </c>
      <c r="O506" t="s">
        <v>26</v>
      </c>
      <c r="P506" t="s">
        <v>26</v>
      </c>
      <c r="Q506" t="s">
        <v>26</v>
      </c>
      <c r="R506" t="s">
        <v>4060</v>
      </c>
      <c r="S506" t="s">
        <v>4061</v>
      </c>
    </row>
    <row r="507" spans="1:19" x14ac:dyDescent="0.2">
      <c r="A507" t="s">
        <v>4062</v>
      </c>
      <c r="B507" t="s">
        <v>4063</v>
      </c>
      <c r="C507" t="s">
        <v>4064</v>
      </c>
      <c r="D507" t="s">
        <v>22</v>
      </c>
      <c r="E507" t="b">
        <v>0</v>
      </c>
      <c r="F507" t="s">
        <v>23</v>
      </c>
      <c r="G507" t="s">
        <v>4065</v>
      </c>
      <c r="H507" t="s">
        <v>529</v>
      </c>
      <c r="I507" t="s">
        <v>26</v>
      </c>
      <c r="J507" t="s">
        <v>27</v>
      </c>
      <c r="K507" t="s">
        <v>4066</v>
      </c>
      <c r="L507" t="s">
        <v>4067</v>
      </c>
      <c r="M507" t="s">
        <v>4068</v>
      </c>
      <c r="N507" t="s">
        <v>26</v>
      </c>
      <c r="O507" t="s">
        <v>26</v>
      </c>
      <c r="P507" t="s">
        <v>26</v>
      </c>
      <c r="Q507" s="3" t="d">
        <v>2026-01-10</v>
      </c>
      <c r="R507" t="s">
        <v>4060</v>
      </c>
      <c r="S507" t="s">
        <v>4069</v>
      </c>
    </row>
    <row r="508" spans="1:19" x14ac:dyDescent="0.2">
      <c r="A508" t="s">
        <v>4070</v>
      </c>
      <c r="B508" t="s">
        <v>26</v>
      </c>
      <c r="C508" t="s">
        <v>4071</v>
      </c>
      <c r="D508" t="s">
        <v>26</v>
      </c>
      <c r="E508" t="s">
        <v>26</v>
      </c>
      <c r="F508" t="s">
        <v>26</v>
      </c>
      <c r="G508" t="s">
        <v>4072</v>
      </c>
      <c r="H508" t="s">
        <v>26</v>
      </c>
      <c r="I508" t="s">
        <v>26</v>
      </c>
      <c r="J508" t="s">
        <v>26</v>
      </c>
      <c r="K508" t="s">
        <v>26</v>
      </c>
      <c r="L508" t="s">
        <v>26</v>
      </c>
      <c r="M508" t="s">
        <v>26</v>
      </c>
      <c r="N508" t="s">
        <v>26</v>
      </c>
      <c r="O508" t="s">
        <v>26</v>
      </c>
      <c r="P508" t="s">
        <v>26</v>
      </c>
      <c r="Q508" t="s">
        <v>26</v>
      </c>
      <c r="R508" t="s">
        <v>4060</v>
      </c>
      <c r="S508" t="s">
        <v>4073</v>
      </c>
    </row>
    <row r="509" spans="1:19" x14ac:dyDescent="0.2">
      <c r="A509" t="s">
        <v>4074</v>
      </c>
      <c r="B509" t="s">
        <v>26</v>
      </c>
      <c r="C509" t="s">
        <v>4075</v>
      </c>
      <c r="D509" t="s">
        <v>26</v>
      </c>
      <c r="E509" t="s">
        <v>26</v>
      </c>
      <c r="F509" t="s">
        <v>26</v>
      </c>
      <c r="G509" t="s">
        <v>4076</v>
      </c>
      <c r="H509" t="s">
        <v>26</v>
      </c>
      <c r="I509" t="s">
        <v>26</v>
      </c>
      <c r="J509" t="s">
        <v>26</v>
      </c>
      <c r="K509" t="s">
        <v>4077</v>
      </c>
      <c r="L509" t="s">
        <v>4078</v>
      </c>
      <c r="M509" t="s">
        <v>26</v>
      </c>
      <c r="N509" t="s">
        <v>26</v>
      </c>
      <c r="O509" t="s">
        <v>26</v>
      </c>
      <c r="P509" t="s">
        <v>26</v>
      </c>
      <c r="Q509" t="s">
        <v>26</v>
      </c>
      <c r="R509" t="s">
        <v>4060</v>
      </c>
      <c r="S509" t="s">
        <v>4079</v>
      </c>
    </row>
    <row r="510" spans="1:19" x14ac:dyDescent="0.2">
      <c r="A510" t="s">
        <v>4080</v>
      </c>
      <c r="B510" t="s">
        <v>26</v>
      </c>
      <c r="C510" t="s">
        <v>4081</v>
      </c>
      <c r="D510" t="s">
        <v>26</v>
      </c>
      <c r="E510" t="s">
        <v>26</v>
      </c>
      <c r="F510" t="s">
        <v>26</v>
      </c>
      <c r="G510" t="s">
        <v>4082</v>
      </c>
      <c r="H510" t="s">
        <v>26</v>
      </c>
      <c r="I510" t="s">
        <v>26</v>
      </c>
      <c r="J510" t="s">
        <v>26</v>
      </c>
      <c r="K510" t="s">
        <v>4083</v>
      </c>
      <c r="L510" t="s">
        <v>4084</v>
      </c>
      <c r="M510" t="s">
        <v>26</v>
      </c>
      <c r="N510" t="s">
        <v>26</v>
      </c>
      <c r="O510" t="s">
        <v>26</v>
      </c>
      <c r="P510" t="s">
        <v>26</v>
      </c>
      <c r="Q510" t="s">
        <v>26</v>
      </c>
      <c r="R510" t="s">
        <v>4060</v>
      </c>
      <c r="S510" t="s">
        <v>4085</v>
      </c>
    </row>
    <row r="511" spans="1:19" x14ac:dyDescent="0.2">
      <c r="A511" t="s">
        <v>4086</v>
      </c>
      <c r="B511" t="s">
        <v>26</v>
      </c>
      <c r="C511" t="s">
        <v>4087</v>
      </c>
      <c r="D511" t="s">
        <v>26</v>
      </c>
      <c r="E511" t="s">
        <v>26</v>
      </c>
      <c r="F511" t="s">
        <v>26</v>
      </c>
      <c r="G511" t="s">
        <v>4088</v>
      </c>
      <c r="H511" t="s">
        <v>26</v>
      </c>
      <c r="I511" t="s">
        <v>26</v>
      </c>
      <c r="J511" t="s">
        <v>26</v>
      </c>
      <c r="K511" t="s">
        <v>4089</v>
      </c>
      <c r="L511" t="s">
        <v>4090</v>
      </c>
      <c r="M511" t="s">
        <v>4091</v>
      </c>
      <c r="N511" t="s">
        <v>26</v>
      </c>
      <c r="O511" t="s">
        <v>26</v>
      </c>
      <c r="P511" t="s">
        <v>26</v>
      </c>
      <c r="Q511" t="s">
        <v>26</v>
      </c>
      <c r="R511" t="s">
        <v>4060</v>
      </c>
      <c r="S511" t="s">
        <v>4092</v>
      </c>
    </row>
    <row r="512" spans="1:19" x14ac:dyDescent="0.2">
      <c r="A512" t="s">
        <v>4093</v>
      </c>
      <c r="B512" t="s">
        <v>26</v>
      </c>
      <c r="C512" t="s">
        <v>4094</v>
      </c>
      <c r="D512" t="s">
        <v>26</v>
      </c>
      <c r="E512" t="s">
        <v>26</v>
      </c>
      <c r="F512" t="s">
        <v>26</v>
      </c>
      <c r="G512" t="s">
        <v>4095</v>
      </c>
      <c r="H512" t="s">
        <v>26</v>
      </c>
      <c r="I512" t="s">
        <v>26</v>
      </c>
      <c r="J512" t="s">
        <v>26</v>
      </c>
      <c r="K512" t="s">
        <v>4096</v>
      </c>
      <c r="L512" t="s">
        <v>4093</v>
      </c>
      <c r="M512" t="s">
        <v>26</v>
      </c>
      <c r="N512" t="s">
        <v>26</v>
      </c>
      <c r="O512" t="s">
        <v>26</v>
      </c>
      <c r="P512" t="s">
        <v>26</v>
      </c>
      <c r="Q512" t="s">
        <v>26</v>
      </c>
      <c r="R512" t="s">
        <v>4060</v>
      </c>
      <c r="S512" t="s">
        <v>4097</v>
      </c>
    </row>
    <row r="513" spans="1:19" x14ac:dyDescent="0.2">
      <c r="A513" t="s">
        <v>4098</v>
      </c>
      <c r="B513" t="s">
        <v>4098</v>
      </c>
      <c r="C513" t="s">
        <v>4099</v>
      </c>
      <c r="D513" t="s">
        <v>22</v>
      </c>
      <c r="E513" t="b">
        <v>0</v>
      </c>
      <c r="F513" t="s">
        <v>23</v>
      </c>
      <c r="G513" t="s">
        <v>4100</v>
      </c>
      <c r="H513" t="s">
        <v>26</v>
      </c>
      <c r="I513" t="s">
        <v>26</v>
      </c>
      <c r="J513" t="s">
        <v>27</v>
      </c>
      <c r="K513" t="s">
        <v>26</v>
      </c>
      <c r="L513" t="s">
        <v>4098</v>
      </c>
      <c r="M513" t="s">
        <v>26</v>
      </c>
      <c r="N513" t="s">
        <v>26</v>
      </c>
      <c r="O513" t="s">
        <v>4101</v>
      </c>
      <c r="P513" t="s">
        <v>26</v>
      </c>
      <c r="Q513" s="3" t="d">
        <v>2026-01-10</v>
      </c>
      <c r="R513" t="s">
        <v>1079</v>
      </c>
      <c r="S513" t="s">
        <v>4102</v>
      </c>
    </row>
    <row r="514" spans="1:19" x14ac:dyDescent="0.2">
      <c r="A514" t="s">
        <v>4103</v>
      </c>
      <c r="B514" t="s">
        <v>4104</v>
      </c>
      <c r="C514" t="s">
        <v>4105</v>
      </c>
      <c r="D514" t="s">
        <v>22</v>
      </c>
      <c r="E514" t="b">
        <v>0</v>
      </c>
      <c r="F514" t="s">
        <v>23</v>
      </c>
      <c r="G514" t="s">
        <v>4106</v>
      </c>
      <c r="H514" t="s">
        <v>1064</v>
      </c>
      <c r="I514" s="2" t="d">
        <v>2020-06-15</v>
      </c>
      <c r="J514" t="s">
        <v>27</v>
      </c>
      <c r="K514" t="s">
        <v>4107</v>
      </c>
      <c r="L514" t="s">
        <v>4108</v>
      </c>
      <c r="M514" t="s">
        <v>4109</v>
      </c>
      <c r="N514" t="s">
        <v>26</v>
      </c>
      <c r="O514" t="s">
        <v>26</v>
      </c>
      <c r="P514" t="s">
        <v>26</v>
      </c>
      <c r="Q514" s="1" t="d">
        <v>1950-11-01</v>
      </c>
      <c r="R514" t="s">
        <v>41</v>
      </c>
      <c r="S514" t="s">
        <v>4110</v>
      </c>
    </row>
    <row r="515" spans="1:19" x14ac:dyDescent="0.2">
      <c r="A515" t="s">
        <v>4111</v>
      </c>
      <c r="B515" t="s">
        <v>4111</v>
      </c>
      <c r="C515" t="s">
        <v>4112</v>
      </c>
      <c r="D515" t="s">
        <v>22</v>
      </c>
      <c r="E515" t="b">
        <v>0</v>
      </c>
      <c r="F515" t="s">
        <v>23</v>
      </c>
      <c r="G515" t="s">
        <v>4113</v>
      </c>
      <c r="H515" t="s">
        <v>4114</v>
      </c>
      <c r="I515" t="s">
        <v>26</v>
      </c>
      <c r="J515" t="s">
        <v>27</v>
      </c>
      <c r="K515" t="s">
        <v>4115</v>
      </c>
      <c r="L515" t="s">
        <v>4111</v>
      </c>
      <c r="M515" t="s">
        <v>4116</v>
      </c>
      <c r="N515" t="s">
        <v>26</v>
      </c>
      <c r="O515" t="s">
        <v>4117</v>
      </c>
      <c r="P515">
        <v>9726425255</v>
      </c>
      <c r="Q515" s="3" t="d">
        <v>2026-01-10</v>
      </c>
      <c r="R515" t="s">
        <v>4060</v>
      </c>
      <c r="S515" t="s">
        <v>4118</v>
      </c>
    </row>
    <row r="516" spans="1:19" x14ac:dyDescent="0.2">
      <c r="A516" t="s">
        <v>4119</v>
      </c>
      <c r="B516" t="s">
        <v>26</v>
      </c>
      <c r="C516" t="s">
        <v>4120</v>
      </c>
      <c r="D516" t="s">
        <v>26</v>
      </c>
      <c r="E516" t="s">
        <v>26</v>
      </c>
      <c r="F516" t="s">
        <v>26</v>
      </c>
      <c r="G516" t="s">
        <v>4121</v>
      </c>
      <c r="H516" t="s">
        <v>26</v>
      </c>
      <c r="I516" t="s">
        <v>26</v>
      </c>
      <c r="J516" t="s">
        <v>26</v>
      </c>
      <c r="K516" t="s">
        <v>4122</v>
      </c>
      <c r="L516" t="s">
        <v>26</v>
      </c>
      <c r="M516" t="s">
        <v>26</v>
      </c>
      <c r="N516" t="s">
        <v>26</v>
      </c>
      <c r="O516" t="s">
        <v>26</v>
      </c>
      <c r="P516" t="s">
        <v>26</v>
      </c>
      <c r="Q516" t="s">
        <v>26</v>
      </c>
      <c r="R516" t="s">
        <v>4060</v>
      </c>
      <c r="S516" t="s">
        <v>4123</v>
      </c>
    </row>
    <row r="517" spans="1:19" x14ac:dyDescent="0.2">
      <c r="A517" t="s">
        <v>4124</v>
      </c>
      <c r="B517" t="s">
        <v>26</v>
      </c>
      <c r="C517" t="s">
        <v>4125</v>
      </c>
      <c r="D517" t="s">
        <v>26</v>
      </c>
      <c r="E517" t="s">
        <v>26</v>
      </c>
      <c r="F517" t="s">
        <v>26</v>
      </c>
      <c r="G517" t="s">
        <v>4126</v>
      </c>
      <c r="H517" t="s">
        <v>26</v>
      </c>
      <c r="I517" t="s">
        <v>26</v>
      </c>
      <c r="J517" t="s">
        <v>26</v>
      </c>
      <c r="K517" t="s">
        <v>26</v>
      </c>
      <c r="L517" t="s">
        <v>26</v>
      </c>
      <c r="M517" t="s">
        <v>26</v>
      </c>
      <c r="N517" t="s">
        <v>26</v>
      </c>
      <c r="O517" t="s">
        <v>26</v>
      </c>
      <c r="P517" t="s">
        <v>26</v>
      </c>
      <c r="Q517" t="s">
        <v>26</v>
      </c>
      <c r="R517" t="s">
        <v>4060</v>
      </c>
      <c r="S517" t="s">
        <v>4127</v>
      </c>
    </row>
    <row r="518" spans="1:19" x14ac:dyDescent="0.2">
      <c r="A518" t="s">
        <v>4128</v>
      </c>
      <c r="B518" t="s">
        <v>4128</v>
      </c>
      <c r="C518" t="s">
        <v>4129</v>
      </c>
      <c r="D518" t="s">
        <v>22</v>
      </c>
      <c r="E518" t="b">
        <v>0</v>
      </c>
      <c r="F518" t="s">
        <v>23</v>
      </c>
      <c r="G518" t="s">
        <v>4130</v>
      </c>
      <c r="H518" t="s">
        <v>4131</v>
      </c>
      <c r="I518" t="s">
        <v>26</v>
      </c>
      <c r="J518" t="s">
        <v>27</v>
      </c>
      <c r="K518" t="s">
        <v>4132</v>
      </c>
      <c r="L518" t="s">
        <v>4128</v>
      </c>
      <c r="M518" t="s">
        <v>26</v>
      </c>
      <c r="N518" t="s">
        <v>26</v>
      </c>
      <c r="O518" t="s">
        <v>4133</v>
      </c>
      <c r="P518" t="s">
        <v>26</v>
      </c>
      <c r="Q518" s="3" t="d">
        <v>2026-01-10</v>
      </c>
      <c r="R518" t="s">
        <v>1074</v>
      </c>
      <c r="S518" t="s">
        <v>4134</v>
      </c>
    </row>
    <row r="519" spans="1:19" x14ac:dyDescent="0.2">
      <c r="A519" t="s">
        <v>4135</v>
      </c>
      <c r="B519" t="s">
        <v>3156</v>
      </c>
      <c r="C519" t="s">
        <v>4136</v>
      </c>
      <c r="D519" t="s">
        <v>22</v>
      </c>
      <c r="E519" t="b">
        <v>0</v>
      </c>
      <c r="F519" t="s">
        <v>23</v>
      </c>
      <c r="G519" t="s">
        <v>4137</v>
      </c>
      <c r="H519" t="s">
        <v>146</v>
      </c>
      <c r="I519" t="s">
        <v>26</v>
      </c>
      <c r="J519" t="s">
        <v>27</v>
      </c>
      <c r="K519" t="s">
        <v>3159</v>
      </c>
      <c r="L519" t="s">
        <v>3160</v>
      </c>
      <c r="M519" t="s">
        <v>26</v>
      </c>
      <c r="N519" t="s">
        <v>4138</v>
      </c>
      <c r="O519" t="s">
        <v>26</v>
      </c>
      <c r="P519" t="s">
        <v>26</v>
      </c>
      <c r="Q519" s="1" t="d">
        <v>1950-11-01</v>
      </c>
      <c r="R519" t="s">
        <v>1082</v>
      </c>
      <c r="S519" t="s">
        <v>4139</v>
      </c>
    </row>
    <row r="520" spans="1:19" x14ac:dyDescent="0.2">
      <c r="A520" t="s">
        <v>4140</v>
      </c>
      <c r="B520" t="s">
        <v>4141</v>
      </c>
      <c r="C520" t="s">
        <v>4142</v>
      </c>
      <c r="D520" t="s">
        <v>22</v>
      </c>
      <c r="E520" t="b">
        <v>0</v>
      </c>
      <c r="F520" t="s">
        <v>23</v>
      </c>
      <c r="G520" t="s">
        <v>4143</v>
      </c>
      <c r="H520" t="s">
        <v>188</v>
      </c>
      <c r="I520" s="2" t="d">
        <v>2022-01-01</v>
      </c>
      <c r="J520" t="s">
        <v>27</v>
      </c>
      <c r="K520" t="s">
        <v>4144</v>
      </c>
      <c r="L520" t="s">
        <v>4141</v>
      </c>
      <c r="M520" t="s">
        <v>4145</v>
      </c>
      <c r="N520" t="s">
        <v>4146</v>
      </c>
      <c r="O520" t="s">
        <v>26</v>
      </c>
      <c r="P520" t="s">
        <v>26</v>
      </c>
      <c r="Q520" t="s">
        <v>218</v>
      </c>
      <c r="R520" t="s">
        <v>41</v>
      </c>
      <c r="S520" t="s">
        <v>4147</v>
      </c>
    </row>
    <row r="521" spans="1:19" x14ac:dyDescent="0.2">
      <c r="A521" t="s">
        <v>4148</v>
      </c>
      <c r="B521" t="s">
        <v>4149</v>
      </c>
      <c r="C521" t="s">
        <v>4150</v>
      </c>
      <c r="D521" t="s">
        <v>22</v>
      </c>
      <c r="E521" t="b">
        <v>0</v>
      </c>
      <c r="F521" t="s">
        <v>23</v>
      </c>
      <c r="G521" t="s">
        <v>4151</v>
      </c>
      <c r="H521" t="s">
        <v>4114</v>
      </c>
      <c r="I521" t="s">
        <v>26</v>
      </c>
      <c r="J521" t="s">
        <v>27</v>
      </c>
      <c r="K521" t="s">
        <v>4152</v>
      </c>
      <c r="L521" t="s">
        <v>4153</v>
      </c>
      <c r="M521" t="s">
        <v>4154</v>
      </c>
      <c r="N521" t="s">
        <v>26</v>
      </c>
      <c r="O521" t="s">
        <v>4155</v>
      </c>
      <c r="P521" t="s">
        <v>4156</v>
      </c>
      <c r="Q521" t="s">
        <v>54</v>
      </c>
      <c r="R521" t="s">
        <v>1235</v>
      </c>
      <c r="S521" t="s">
        <v>4157</v>
      </c>
    </row>
    <row r="522" spans="1:19" x14ac:dyDescent="0.2">
      <c r="A522" t="s">
        <v>4158</v>
      </c>
      <c r="B522" t="s">
        <v>4159</v>
      </c>
      <c r="C522" t="s">
        <v>4160</v>
      </c>
      <c r="D522" t="s">
        <v>22</v>
      </c>
      <c r="E522" t="b">
        <v>0</v>
      </c>
      <c r="F522" t="s">
        <v>23</v>
      </c>
      <c r="G522" t="s">
        <v>4161</v>
      </c>
      <c r="H522" t="s">
        <v>188</v>
      </c>
      <c r="I522" t="s">
        <v>26</v>
      </c>
      <c r="J522" t="s">
        <v>27</v>
      </c>
      <c r="K522" t="s">
        <v>4162</v>
      </c>
      <c r="L522" t="s">
        <v>4158</v>
      </c>
      <c r="M522" t="s">
        <v>4163</v>
      </c>
      <c r="N522" t="s">
        <v>4164</v>
      </c>
      <c r="O522" t="s">
        <v>4165</v>
      </c>
      <c r="P522" t="s">
        <v>26</v>
      </c>
      <c r="Q522" s="3" t="d">
        <v>2026-01-10</v>
      </c>
      <c r="R522" t="s">
        <v>4166</v>
      </c>
      <c r="S522" t="s">
        <v>4167</v>
      </c>
    </row>
    <row r="523" spans="1:19" x14ac:dyDescent="0.2">
      <c r="A523" t="s">
        <v>4168</v>
      </c>
      <c r="B523" t="s">
        <v>4169</v>
      </c>
      <c r="C523" t="s">
        <v>4170</v>
      </c>
      <c r="D523" t="s">
        <v>22</v>
      </c>
      <c r="E523" t="b">
        <v>0</v>
      </c>
      <c r="F523" t="s">
        <v>23</v>
      </c>
      <c r="G523" t="s">
        <v>4171</v>
      </c>
      <c r="H523" t="s">
        <v>119</v>
      </c>
      <c r="I523" s="2" t="d">
        <v>2021-11-01</v>
      </c>
      <c r="J523" t="s">
        <v>27</v>
      </c>
      <c r="K523" t="s">
        <v>4172</v>
      </c>
      <c r="L523" t="s">
        <v>4173</v>
      </c>
      <c r="M523" t="s">
        <v>4174</v>
      </c>
      <c r="N523" t="s">
        <v>26</v>
      </c>
      <c r="O523" t="s">
        <v>4175</v>
      </c>
      <c r="P523" t="s">
        <v>26</v>
      </c>
      <c r="Q523" t="s">
        <v>40</v>
      </c>
      <c r="R523" t="s">
        <v>41</v>
      </c>
      <c r="S523" t="s">
        <v>4176</v>
      </c>
    </row>
    <row r="524" spans="1:19" x14ac:dyDescent="0.2">
      <c r="A524" t="s">
        <v>4177</v>
      </c>
      <c r="B524" t="s">
        <v>4177</v>
      </c>
      <c r="C524" t="s">
        <v>4178</v>
      </c>
      <c r="D524" t="s">
        <v>22</v>
      </c>
      <c r="E524" t="b">
        <v>0</v>
      </c>
      <c r="F524" t="s">
        <v>23</v>
      </c>
      <c r="G524" t="s">
        <v>4179</v>
      </c>
      <c r="H524" t="s">
        <v>4180</v>
      </c>
      <c r="I524" s="2" t="d">
        <v>2019-01-01</v>
      </c>
      <c r="J524" t="s">
        <v>27</v>
      </c>
      <c r="K524" t="s">
        <v>4181</v>
      </c>
      <c r="L524" t="s">
        <v>4177</v>
      </c>
      <c r="M524" t="s">
        <v>4182</v>
      </c>
      <c r="N524" t="s">
        <v>4183</v>
      </c>
      <c r="O524" t="s">
        <v>4184</v>
      </c>
      <c r="P524" t="s">
        <v>4185</v>
      </c>
      <c r="Q524" t="s">
        <v>218</v>
      </c>
      <c r="R524" t="s">
        <v>41</v>
      </c>
      <c r="S524" t="s">
        <v>4186</v>
      </c>
    </row>
    <row r="525" spans="1:19" x14ac:dyDescent="0.2">
      <c r="A525" t="s">
        <v>4187</v>
      </c>
      <c r="B525" t="s">
        <v>4188</v>
      </c>
      <c r="C525" t="s">
        <v>4189</v>
      </c>
      <c r="D525" t="s">
        <v>22</v>
      </c>
      <c r="E525" t="b">
        <v>0</v>
      </c>
      <c r="F525" t="s">
        <v>23</v>
      </c>
      <c r="G525" t="s">
        <v>4190</v>
      </c>
      <c r="H525" t="s">
        <v>188</v>
      </c>
      <c r="I525" t="s">
        <v>26</v>
      </c>
      <c r="J525" t="s">
        <v>27</v>
      </c>
      <c r="K525" t="s">
        <v>4191</v>
      </c>
      <c r="L525" t="s">
        <v>4187</v>
      </c>
      <c r="M525" t="s">
        <v>4192</v>
      </c>
      <c r="N525" t="s">
        <v>26</v>
      </c>
      <c r="O525" t="s">
        <v>26</v>
      </c>
      <c r="P525" t="s">
        <v>26</v>
      </c>
      <c r="Q525" t="s">
        <v>40</v>
      </c>
      <c r="R525" t="s">
        <v>4193</v>
      </c>
      <c r="S525" t="s">
        <v>4194</v>
      </c>
    </row>
    <row r="526" spans="1:19" x14ac:dyDescent="0.2">
      <c r="A526" t="s">
        <v>4195</v>
      </c>
      <c r="B526" t="s">
        <v>26</v>
      </c>
      <c r="C526" t="s">
        <v>4196</v>
      </c>
      <c r="D526" t="s">
        <v>26</v>
      </c>
      <c r="E526" t="s">
        <v>26</v>
      </c>
      <c r="F526" t="s">
        <v>26</v>
      </c>
      <c r="G526" t="s">
        <v>4197</v>
      </c>
      <c r="H526" t="s">
        <v>26</v>
      </c>
      <c r="I526" t="s">
        <v>26</v>
      </c>
      <c r="J526" t="s">
        <v>26</v>
      </c>
      <c r="K526" t="s">
        <v>4198</v>
      </c>
      <c r="L526" t="s">
        <v>4199</v>
      </c>
      <c r="M526" t="s">
        <v>26</v>
      </c>
      <c r="N526" t="s">
        <v>26</v>
      </c>
      <c r="O526" t="s">
        <v>26</v>
      </c>
      <c r="P526" t="s">
        <v>26</v>
      </c>
      <c r="Q526" t="s">
        <v>26</v>
      </c>
      <c r="R526" t="s">
        <v>3481</v>
      </c>
      <c r="S526" t="s">
        <v>4200</v>
      </c>
    </row>
    <row r="527" spans="1:19" x14ac:dyDescent="0.2">
      <c r="A527" t="s">
        <v>4201</v>
      </c>
      <c r="B527" t="s">
        <v>4201</v>
      </c>
      <c r="C527" t="s">
        <v>4202</v>
      </c>
      <c r="D527" t="s">
        <v>22</v>
      </c>
      <c r="E527" t="b">
        <v>0</v>
      </c>
      <c r="F527" t="s">
        <v>26</v>
      </c>
      <c r="G527" t="s">
        <v>4203</v>
      </c>
      <c r="H527" t="s">
        <v>2453</v>
      </c>
      <c r="I527" t="s">
        <v>26</v>
      </c>
      <c r="J527" t="s">
        <v>27</v>
      </c>
      <c r="K527" t="s">
        <v>4204</v>
      </c>
      <c r="L527" t="s">
        <v>4205</v>
      </c>
      <c r="M527" t="s">
        <v>26</v>
      </c>
      <c r="N527" t="s">
        <v>26</v>
      </c>
      <c r="O527" t="s">
        <v>26</v>
      </c>
      <c r="P527" t="s">
        <v>26</v>
      </c>
      <c r="Q527" s="1" t="d">
        <v>1950-11-01</v>
      </c>
      <c r="R527" t="s">
        <v>4206</v>
      </c>
      <c r="S527" t="s">
        <v>4207</v>
      </c>
    </row>
    <row r="528" spans="1:19" x14ac:dyDescent="0.2">
      <c r="A528" t="s">
        <v>4208</v>
      </c>
      <c r="B528" t="s">
        <v>4208</v>
      </c>
      <c r="C528" t="s">
        <v>4209</v>
      </c>
      <c r="D528" t="s">
        <v>22</v>
      </c>
      <c r="E528" t="b">
        <v>0</v>
      </c>
      <c r="F528" t="s">
        <v>23</v>
      </c>
      <c r="G528" t="s">
        <v>4210</v>
      </c>
      <c r="H528" t="s">
        <v>615</v>
      </c>
      <c r="I528" t="s">
        <v>26</v>
      </c>
      <c r="J528" t="s">
        <v>27</v>
      </c>
      <c r="K528" t="s">
        <v>4211</v>
      </c>
      <c r="L528" t="s">
        <v>4208</v>
      </c>
      <c r="M528" t="s">
        <v>26</v>
      </c>
      <c r="N528" t="s">
        <v>26</v>
      </c>
      <c r="O528" t="s">
        <v>4212</v>
      </c>
      <c r="P528" t="s">
        <v>4213</v>
      </c>
      <c r="Q528" t="s">
        <v>26</v>
      </c>
      <c r="R528" t="s">
        <v>3481</v>
      </c>
      <c r="S528" t="s">
        <v>4214</v>
      </c>
    </row>
    <row r="529" spans="1:19" x14ac:dyDescent="0.2">
      <c r="A529" t="s">
        <v>4215</v>
      </c>
      <c r="B529" t="s">
        <v>26</v>
      </c>
      <c r="C529" t="s">
        <v>4216</v>
      </c>
      <c r="D529" t="s">
        <v>26</v>
      </c>
      <c r="E529" t="s">
        <v>26</v>
      </c>
      <c r="F529" t="s">
        <v>26</v>
      </c>
      <c r="G529" t="s">
        <v>4217</v>
      </c>
      <c r="H529" t="s">
        <v>26</v>
      </c>
      <c r="I529" t="s">
        <v>26</v>
      </c>
      <c r="J529" t="s">
        <v>26</v>
      </c>
      <c r="K529" t="s">
        <v>4218</v>
      </c>
      <c r="L529" t="s">
        <v>4215</v>
      </c>
      <c r="M529" t="s">
        <v>26</v>
      </c>
      <c r="N529" t="s">
        <v>26</v>
      </c>
      <c r="O529" t="s">
        <v>26</v>
      </c>
      <c r="P529" t="s">
        <v>26</v>
      </c>
      <c r="Q529" t="s">
        <v>26</v>
      </c>
      <c r="R529" t="s">
        <v>3481</v>
      </c>
      <c r="S529" t="s">
        <v>4219</v>
      </c>
    </row>
    <row r="530" spans="1:19" x14ac:dyDescent="0.2">
      <c r="A530" t="s">
        <v>4220</v>
      </c>
      <c r="B530" t="s">
        <v>26</v>
      </c>
      <c r="C530" t="s">
        <v>4221</v>
      </c>
      <c r="D530" t="s">
        <v>26</v>
      </c>
      <c r="E530" t="s">
        <v>26</v>
      </c>
      <c r="F530" t="s">
        <v>26</v>
      </c>
      <c r="G530" t="s">
        <v>4222</v>
      </c>
      <c r="H530" t="s">
        <v>26</v>
      </c>
      <c r="I530" t="s">
        <v>26</v>
      </c>
      <c r="J530" t="s">
        <v>26</v>
      </c>
      <c r="K530" t="s">
        <v>26</v>
      </c>
      <c r="L530" t="s">
        <v>26</v>
      </c>
      <c r="M530" t="s">
        <v>26</v>
      </c>
      <c r="N530" t="s">
        <v>26</v>
      </c>
      <c r="O530" t="s">
        <v>26</v>
      </c>
      <c r="P530" t="s">
        <v>26</v>
      </c>
      <c r="Q530" t="s">
        <v>26</v>
      </c>
      <c r="R530" t="s">
        <v>3481</v>
      </c>
      <c r="S530" t="s">
        <v>4223</v>
      </c>
    </row>
    <row r="531" spans="1:19" x14ac:dyDescent="0.2">
      <c r="A531" t="s">
        <v>4224</v>
      </c>
      <c r="B531" t="s">
        <v>26</v>
      </c>
      <c r="C531" t="s">
        <v>4225</v>
      </c>
      <c r="D531" t="s">
        <v>26</v>
      </c>
      <c r="E531" t="s">
        <v>26</v>
      </c>
      <c r="F531" t="s">
        <v>26</v>
      </c>
      <c r="G531" t="s">
        <v>4226</v>
      </c>
      <c r="H531" t="s">
        <v>26</v>
      </c>
      <c r="I531" t="s">
        <v>26</v>
      </c>
      <c r="J531" t="s">
        <v>26</v>
      </c>
      <c r="K531" t="s">
        <v>4227</v>
      </c>
      <c r="L531" t="s">
        <v>4228</v>
      </c>
      <c r="M531" t="s">
        <v>26</v>
      </c>
      <c r="N531" t="s">
        <v>26</v>
      </c>
      <c r="O531" t="s">
        <v>26</v>
      </c>
      <c r="P531" t="s">
        <v>26</v>
      </c>
      <c r="Q531" t="s">
        <v>26</v>
      </c>
      <c r="R531" t="s">
        <v>3481</v>
      </c>
      <c r="S531" t="s">
        <v>4229</v>
      </c>
    </row>
    <row r="532" spans="1:19" x14ac:dyDescent="0.2">
      <c r="A532" t="s">
        <v>4230</v>
      </c>
      <c r="B532" t="s">
        <v>26</v>
      </c>
      <c r="C532" t="s">
        <v>4231</v>
      </c>
      <c r="D532" t="s">
        <v>26</v>
      </c>
      <c r="E532" t="s">
        <v>26</v>
      </c>
      <c r="F532" t="s">
        <v>26</v>
      </c>
      <c r="G532" t="s">
        <v>4232</v>
      </c>
      <c r="H532" t="s">
        <v>26</v>
      </c>
      <c r="I532" t="s">
        <v>26</v>
      </c>
      <c r="J532" t="s">
        <v>26</v>
      </c>
      <c r="K532" t="s">
        <v>4233</v>
      </c>
      <c r="L532" t="s">
        <v>26</v>
      </c>
      <c r="M532" t="s">
        <v>4234</v>
      </c>
      <c r="N532" t="s">
        <v>26</v>
      </c>
      <c r="O532" t="s">
        <v>26</v>
      </c>
      <c r="P532" t="s">
        <v>26</v>
      </c>
      <c r="Q532" t="s">
        <v>26</v>
      </c>
      <c r="R532" t="s">
        <v>3481</v>
      </c>
      <c r="S532" t="s">
        <v>4235</v>
      </c>
    </row>
    <row r="533" spans="1:19" x14ac:dyDescent="0.2">
      <c r="A533" t="s">
        <v>4236</v>
      </c>
      <c r="B533" t="s">
        <v>26</v>
      </c>
      <c r="C533" t="s">
        <v>4237</v>
      </c>
      <c r="D533" t="s">
        <v>26</v>
      </c>
      <c r="E533" t="s">
        <v>26</v>
      </c>
      <c r="F533" t="s">
        <v>26</v>
      </c>
      <c r="G533" t="s">
        <v>4238</v>
      </c>
      <c r="H533" t="s">
        <v>26</v>
      </c>
      <c r="I533" t="s">
        <v>26</v>
      </c>
      <c r="J533" t="s">
        <v>26</v>
      </c>
      <c r="K533" t="s">
        <v>4239</v>
      </c>
      <c r="L533" t="s">
        <v>4236</v>
      </c>
      <c r="M533" t="s">
        <v>26</v>
      </c>
      <c r="N533" t="s">
        <v>26</v>
      </c>
      <c r="O533" t="s">
        <v>26</v>
      </c>
      <c r="P533" t="s">
        <v>26</v>
      </c>
      <c r="Q533" t="s">
        <v>26</v>
      </c>
      <c r="R533" t="s">
        <v>3481</v>
      </c>
      <c r="S533" t="s">
        <v>4240</v>
      </c>
    </row>
    <row r="534" spans="1:19" x14ac:dyDescent="0.2">
      <c r="A534" t="s">
        <v>4241</v>
      </c>
      <c r="B534" t="s">
        <v>26</v>
      </c>
      <c r="C534" t="s">
        <v>4242</v>
      </c>
      <c r="D534" t="s">
        <v>26</v>
      </c>
      <c r="E534" t="s">
        <v>26</v>
      </c>
      <c r="F534" t="s">
        <v>26</v>
      </c>
      <c r="G534" t="s">
        <v>4243</v>
      </c>
      <c r="H534" t="s">
        <v>26</v>
      </c>
      <c r="I534" t="s">
        <v>26</v>
      </c>
      <c r="J534" t="s">
        <v>26</v>
      </c>
      <c r="K534" t="s">
        <v>4244</v>
      </c>
      <c r="L534" t="s">
        <v>4241</v>
      </c>
      <c r="M534" t="s">
        <v>4245</v>
      </c>
      <c r="N534" t="s">
        <v>26</v>
      </c>
      <c r="O534" t="s">
        <v>26</v>
      </c>
      <c r="P534" t="s">
        <v>26</v>
      </c>
      <c r="Q534" t="s">
        <v>26</v>
      </c>
      <c r="R534" t="s">
        <v>3481</v>
      </c>
      <c r="S534" t="s">
        <v>4246</v>
      </c>
    </row>
    <row r="535" spans="1:19" x14ac:dyDescent="0.2">
      <c r="A535" t="s">
        <v>4247</v>
      </c>
      <c r="B535" t="s">
        <v>4248</v>
      </c>
      <c r="C535" t="s">
        <v>4249</v>
      </c>
      <c r="D535" t="s">
        <v>22</v>
      </c>
      <c r="E535" t="b">
        <v>0</v>
      </c>
      <c r="F535" t="s">
        <v>23</v>
      </c>
      <c r="G535" t="s">
        <v>4250</v>
      </c>
      <c r="H535" t="s">
        <v>26</v>
      </c>
      <c r="I535" t="s">
        <v>26</v>
      </c>
      <c r="J535" t="s">
        <v>27</v>
      </c>
      <c r="K535" t="s">
        <v>4251</v>
      </c>
      <c r="L535" t="s">
        <v>4248</v>
      </c>
      <c r="M535" t="s">
        <v>26</v>
      </c>
      <c r="N535" t="s">
        <v>26</v>
      </c>
      <c r="O535" t="s">
        <v>4252</v>
      </c>
      <c r="P535" t="s">
        <v>26</v>
      </c>
      <c r="Q535" s="3" t="d">
        <v>2026-01-10</v>
      </c>
      <c r="R535" t="s">
        <v>3481</v>
      </c>
      <c r="S535" t="s">
        <v>4253</v>
      </c>
    </row>
    <row r="536" spans="1:19" x14ac:dyDescent="0.2">
      <c r="A536" t="s">
        <v>4254</v>
      </c>
      <c r="B536" t="s">
        <v>4255</v>
      </c>
      <c r="C536" t="s">
        <v>4256</v>
      </c>
      <c r="D536" t="s">
        <v>22</v>
      </c>
      <c r="E536" t="b">
        <v>0</v>
      </c>
      <c r="F536" t="s">
        <v>23</v>
      </c>
      <c r="G536" t="s">
        <v>4257</v>
      </c>
      <c r="H536" t="s">
        <v>4258</v>
      </c>
      <c r="I536" t="s">
        <v>26</v>
      </c>
      <c r="J536" t="s">
        <v>27</v>
      </c>
      <c r="K536" t="s">
        <v>26</v>
      </c>
      <c r="L536" t="s">
        <v>26</v>
      </c>
      <c r="M536" t="s">
        <v>4259</v>
      </c>
      <c r="N536" t="s">
        <v>26</v>
      </c>
      <c r="O536" t="s">
        <v>26</v>
      </c>
      <c r="P536" t="s">
        <v>26</v>
      </c>
      <c r="Q536" t="s">
        <v>26</v>
      </c>
      <c r="R536" t="s">
        <v>4193</v>
      </c>
      <c r="S536" t="s">
        <v>4260</v>
      </c>
    </row>
    <row r="537" spans="1:19" x14ac:dyDescent="0.2">
      <c r="A537" t="s">
        <v>4261</v>
      </c>
      <c r="B537" t="s">
        <v>4262</v>
      </c>
      <c r="C537" t="s">
        <v>4263</v>
      </c>
      <c r="D537" t="s">
        <v>22</v>
      </c>
      <c r="E537" t="b">
        <v>0</v>
      </c>
      <c r="F537" t="s">
        <v>23</v>
      </c>
      <c r="G537" t="s">
        <v>4264</v>
      </c>
      <c r="H537" t="s">
        <v>634</v>
      </c>
      <c r="I537" s="2" t="d">
        <v>2021-01-01</v>
      </c>
      <c r="J537" t="s">
        <v>27</v>
      </c>
      <c r="K537" t="s">
        <v>4265</v>
      </c>
      <c r="L537" t="s">
        <v>4266</v>
      </c>
      <c r="M537" t="s">
        <v>26</v>
      </c>
      <c r="N537" t="s">
        <v>26</v>
      </c>
      <c r="O537" t="s">
        <v>4267</v>
      </c>
      <c r="P537" t="s">
        <v>4268</v>
      </c>
      <c r="Q537" t="s">
        <v>113</v>
      </c>
      <c r="R537" t="s">
        <v>1002</v>
      </c>
      <c r="S537" t="s">
        <v>4269</v>
      </c>
    </row>
    <row r="538" spans="1:19" x14ac:dyDescent="0.2">
      <c r="A538" t="s">
        <v>4270</v>
      </c>
      <c r="B538" t="s">
        <v>4270</v>
      </c>
      <c r="C538" t="s">
        <v>4271</v>
      </c>
      <c r="D538" t="s">
        <v>22</v>
      </c>
      <c r="E538" t="b">
        <v>0</v>
      </c>
      <c r="F538" t="s">
        <v>23</v>
      </c>
      <c r="G538" t="s">
        <v>4272</v>
      </c>
      <c r="H538" t="s">
        <v>4273</v>
      </c>
      <c r="I538" t="s">
        <v>26</v>
      </c>
      <c r="J538" t="s">
        <v>27</v>
      </c>
      <c r="K538" t="s">
        <v>4274</v>
      </c>
      <c r="L538" t="s">
        <v>26</v>
      </c>
      <c r="M538" t="s">
        <v>4275</v>
      </c>
      <c r="N538" t="s">
        <v>26</v>
      </c>
      <c r="O538" t="s">
        <v>26</v>
      </c>
      <c r="P538" t="s">
        <v>26</v>
      </c>
      <c r="Q538" t="s">
        <v>26</v>
      </c>
      <c r="R538" t="s">
        <v>1079</v>
      </c>
      <c r="S538" t="s">
        <v>4276</v>
      </c>
    </row>
    <row r="539" spans="1:19" x14ac:dyDescent="0.2">
      <c r="A539" t="s">
        <v>4277</v>
      </c>
      <c r="B539" t="s">
        <v>26</v>
      </c>
      <c r="C539" t="s">
        <v>4278</v>
      </c>
      <c r="D539" t="s">
        <v>26</v>
      </c>
      <c r="E539" t="s">
        <v>26</v>
      </c>
      <c r="F539" t="s">
        <v>26</v>
      </c>
      <c r="G539" t="s">
        <v>4279</v>
      </c>
      <c r="H539" t="s">
        <v>26</v>
      </c>
      <c r="I539" t="s">
        <v>26</v>
      </c>
      <c r="J539" t="s">
        <v>26</v>
      </c>
      <c r="K539" t="s">
        <v>26</v>
      </c>
      <c r="L539" t="s">
        <v>26</v>
      </c>
      <c r="M539" t="s">
        <v>26</v>
      </c>
      <c r="N539" t="s">
        <v>26</v>
      </c>
      <c r="O539" t="s">
        <v>26</v>
      </c>
      <c r="P539" t="s">
        <v>26</v>
      </c>
      <c r="Q539" t="s">
        <v>26</v>
      </c>
      <c r="R539" t="s">
        <v>1079</v>
      </c>
      <c r="S539" t="s">
        <v>4280</v>
      </c>
    </row>
    <row r="540" spans="1:19" x14ac:dyDescent="0.2">
      <c r="A540" t="s">
        <v>4281</v>
      </c>
      <c r="B540" t="s">
        <v>26</v>
      </c>
      <c r="C540" t="s">
        <v>4282</v>
      </c>
      <c r="D540" t="s">
        <v>26</v>
      </c>
      <c r="E540" t="s">
        <v>26</v>
      </c>
      <c r="F540" t="s">
        <v>26</v>
      </c>
      <c r="G540" t="s">
        <v>4283</v>
      </c>
      <c r="H540" t="s">
        <v>26</v>
      </c>
      <c r="I540" t="s">
        <v>26</v>
      </c>
      <c r="J540" t="s">
        <v>26</v>
      </c>
      <c r="K540" t="s">
        <v>26</v>
      </c>
      <c r="L540" t="s">
        <v>26</v>
      </c>
      <c r="M540" t="s">
        <v>26</v>
      </c>
      <c r="N540" t="s">
        <v>26</v>
      </c>
      <c r="O540" t="s">
        <v>26</v>
      </c>
      <c r="P540" t="s">
        <v>26</v>
      </c>
      <c r="Q540" t="s">
        <v>26</v>
      </c>
      <c r="R540" t="s">
        <v>4284</v>
      </c>
      <c r="S540" t="s">
        <v>4285</v>
      </c>
    </row>
    <row r="541" spans="1:19" x14ac:dyDescent="0.2">
      <c r="A541" t="s">
        <v>4286</v>
      </c>
      <c r="B541" t="s">
        <v>26</v>
      </c>
      <c r="C541" t="s">
        <v>4287</v>
      </c>
      <c r="D541" t="s">
        <v>26</v>
      </c>
      <c r="E541" t="s">
        <v>26</v>
      </c>
      <c r="F541" t="s">
        <v>26</v>
      </c>
      <c r="G541" t="s">
        <v>4288</v>
      </c>
      <c r="H541" t="s">
        <v>26</v>
      </c>
      <c r="I541" t="s">
        <v>26</v>
      </c>
      <c r="J541" t="s">
        <v>26</v>
      </c>
      <c r="K541" t="s">
        <v>4289</v>
      </c>
      <c r="L541" t="s">
        <v>4286</v>
      </c>
      <c r="M541" t="s">
        <v>26</v>
      </c>
      <c r="N541" t="s">
        <v>4290</v>
      </c>
      <c r="O541" t="s">
        <v>26</v>
      </c>
      <c r="P541" t="s">
        <v>26</v>
      </c>
      <c r="Q541" t="s">
        <v>26</v>
      </c>
      <c r="R541" t="s">
        <v>1079</v>
      </c>
      <c r="S541" t="s">
        <v>4291</v>
      </c>
    </row>
    <row r="542" spans="1:19" x14ac:dyDescent="0.2">
      <c r="A542" t="s">
        <v>4292</v>
      </c>
      <c r="B542" t="s">
        <v>4293</v>
      </c>
      <c r="C542" t="s">
        <v>4294</v>
      </c>
      <c r="D542" t="s">
        <v>22</v>
      </c>
      <c r="E542" t="b">
        <v>0</v>
      </c>
      <c r="F542" t="s">
        <v>23</v>
      </c>
      <c r="G542" t="s">
        <v>4295</v>
      </c>
      <c r="H542" t="s">
        <v>4296</v>
      </c>
      <c r="I542" t="s">
        <v>26</v>
      </c>
      <c r="J542" t="s">
        <v>27</v>
      </c>
      <c r="K542" t="s">
        <v>4297</v>
      </c>
      <c r="L542" t="s">
        <v>4298</v>
      </c>
      <c r="M542" t="s">
        <v>4299</v>
      </c>
      <c r="N542" t="s">
        <v>26</v>
      </c>
      <c r="O542" t="s">
        <v>26</v>
      </c>
      <c r="P542" t="s">
        <v>26</v>
      </c>
      <c r="Q542" s="3" t="d">
        <v>2026-01-10</v>
      </c>
      <c r="R542" t="s">
        <v>2593</v>
      </c>
      <c r="S542" t="s">
        <v>4300</v>
      </c>
    </row>
    <row r="543" spans="1:19" x14ac:dyDescent="0.2">
      <c r="A543" t="s">
        <v>4301</v>
      </c>
      <c r="B543" t="s">
        <v>26</v>
      </c>
      <c r="C543" t="s">
        <v>4302</v>
      </c>
      <c r="D543" t="s">
        <v>26</v>
      </c>
      <c r="E543" t="s">
        <v>26</v>
      </c>
      <c r="F543" t="s">
        <v>26</v>
      </c>
      <c r="G543" t="s">
        <v>4303</v>
      </c>
      <c r="H543" t="s">
        <v>26</v>
      </c>
      <c r="I543" t="s">
        <v>26</v>
      </c>
      <c r="J543" t="s">
        <v>26</v>
      </c>
      <c r="K543" t="s">
        <v>4304</v>
      </c>
      <c r="L543" t="s">
        <v>26</v>
      </c>
      <c r="M543" t="s">
        <v>26</v>
      </c>
      <c r="N543" t="s">
        <v>26</v>
      </c>
      <c r="O543" t="s">
        <v>26</v>
      </c>
      <c r="P543" t="s">
        <v>26</v>
      </c>
      <c r="Q543" t="s">
        <v>26</v>
      </c>
      <c r="R543" t="s">
        <v>1079</v>
      </c>
      <c r="S543" t="s">
        <v>4305</v>
      </c>
    </row>
    <row r="544" spans="1:19" x14ac:dyDescent="0.2">
      <c r="A544" t="s">
        <v>4306</v>
      </c>
      <c r="B544" t="s">
        <v>4307</v>
      </c>
      <c r="C544" t="s">
        <v>4308</v>
      </c>
      <c r="D544" t="s">
        <v>22</v>
      </c>
      <c r="E544" t="b">
        <v>1</v>
      </c>
      <c r="F544" t="s">
        <v>23</v>
      </c>
      <c r="G544" t="s">
        <v>4309</v>
      </c>
      <c r="H544" t="s">
        <v>3107</v>
      </c>
      <c r="I544" t="s">
        <v>26</v>
      </c>
      <c r="J544" t="s">
        <v>27</v>
      </c>
      <c r="K544" t="s">
        <v>4310</v>
      </c>
      <c r="L544" t="s">
        <v>4311</v>
      </c>
      <c r="M544" t="s">
        <v>26</v>
      </c>
      <c r="N544" t="s">
        <v>4312</v>
      </c>
      <c r="O544" t="s">
        <v>26</v>
      </c>
      <c r="P544" t="s">
        <v>26</v>
      </c>
      <c r="Q544" t="s">
        <v>26</v>
      </c>
      <c r="R544" t="s">
        <v>1252</v>
      </c>
      <c r="S544" t="s">
        <v>4313</v>
      </c>
    </row>
    <row r="545" spans="1:19" x14ac:dyDescent="0.2">
      <c r="A545" t="s">
        <v>4314</v>
      </c>
      <c r="B545" t="s">
        <v>26</v>
      </c>
      <c r="C545" t="s">
        <v>4315</v>
      </c>
      <c r="D545" t="s">
        <v>26</v>
      </c>
      <c r="E545" t="s">
        <v>26</v>
      </c>
      <c r="F545" t="s">
        <v>26</v>
      </c>
      <c r="G545" t="s">
        <v>4316</v>
      </c>
      <c r="H545" t="s">
        <v>26</v>
      </c>
      <c r="I545" t="s">
        <v>26</v>
      </c>
      <c r="J545" t="s">
        <v>26</v>
      </c>
      <c r="K545" t="s">
        <v>26</v>
      </c>
      <c r="L545" t="s">
        <v>26</v>
      </c>
      <c r="M545" t="s">
        <v>26</v>
      </c>
      <c r="N545" t="s">
        <v>26</v>
      </c>
      <c r="O545" t="s">
        <v>26</v>
      </c>
      <c r="P545" t="s">
        <v>26</v>
      </c>
      <c r="Q545" t="s">
        <v>26</v>
      </c>
      <c r="R545" t="s">
        <v>1252</v>
      </c>
      <c r="S545" t="s">
        <v>4317</v>
      </c>
    </row>
    <row r="546" spans="1:19" x14ac:dyDescent="0.2">
      <c r="A546" t="s">
        <v>4318</v>
      </c>
      <c r="B546" t="s">
        <v>26</v>
      </c>
      <c r="C546" t="s">
        <v>4319</v>
      </c>
      <c r="D546" t="s">
        <v>26</v>
      </c>
      <c r="E546" t="s">
        <v>26</v>
      </c>
      <c r="F546" t="s">
        <v>26</v>
      </c>
      <c r="G546" t="s">
        <v>4320</v>
      </c>
      <c r="H546" t="s">
        <v>26</v>
      </c>
      <c r="I546" t="s">
        <v>26</v>
      </c>
      <c r="J546" t="s">
        <v>26</v>
      </c>
      <c r="K546" t="s">
        <v>4321</v>
      </c>
      <c r="L546" t="s">
        <v>26</v>
      </c>
      <c r="M546" t="s">
        <v>4322</v>
      </c>
      <c r="N546" t="s">
        <v>26</v>
      </c>
      <c r="O546" t="s">
        <v>26</v>
      </c>
      <c r="P546" t="s">
        <v>26</v>
      </c>
      <c r="Q546" t="s">
        <v>26</v>
      </c>
      <c r="R546" t="s">
        <v>1252</v>
      </c>
      <c r="S546" t="s">
        <v>4323</v>
      </c>
    </row>
    <row r="547" spans="1:19" x14ac:dyDescent="0.2">
      <c r="A547" t="s">
        <v>4324</v>
      </c>
      <c r="B547" t="s">
        <v>26</v>
      </c>
      <c r="C547" t="s">
        <v>4325</v>
      </c>
      <c r="D547" t="s">
        <v>26</v>
      </c>
      <c r="E547" t="s">
        <v>26</v>
      </c>
      <c r="F547" t="s">
        <v>26</v>
      </c>
      <c r="G547" t="s">
        <v>4326</v>
      </c>
      <c r="H547" t="s">
        <v>26</v>
      </c>
      <c r="I547" t="s">
        <v>26</v>
      </c>
      <c r="J547" t="s">
        <v>26</v>
      </c>
      <c r="K547" t="s">
        <v>26</v>
      </c>
      <c r="L547" t="s">
        <v>26</v>
      </c>
      <c r="M547" t="s">
        <v>26</v>
      </c>
      <c r="N547" t="s">
        <v>26</v>
      </c>
      <c r="O547" t="s">
        <v>26</v>
      </c>
      <c r="P547" t="s">
        <v>26</v>
      </c>
      <c r="Q547" t="s">
        <v>26</v>
      </c>
      <c r="R547" t="s">
        <v>1079</v>
      </c>
      <c r="S547" t="s">
        <v>4327</v>
      </c>
    </row>
    <row r="548" spans="1:19" x14ac:dyDescent="0.2">
      <c r="A548" t="s">
        <v>4328</v>
      </c>
      <c r="B548" t="s">
        <v>4329</v>
      </c>
      <c r="C548" t="s">
        <v>4330</v>
      </c>
      <c r="D548" t="s">
        <v>22</v>
      </c>
      <c r="E548" t="b">
        <v>0</v>
      </c>
      <c r="F548" t="s">
        <v>23</v>
      </c>
      <c r="G548" t="s">
        <v>4331</v>
      </c>
      <c r="H548" t="s">
        <v>4332</v>
      </c>
      <c r="I548" s="2" t="d">
        <v>2022-01-01</v>
      </c>
      <c r="J548" t="s">
        <v>27</v>
      </c>
      <c r="K548" t="s">
        <v>26</v>
      </c>
      <c r="L548" t="s">
        <v>26</v>
      </c>
      <c r="M548" t="s">
        <v>26</v>
      </c>
      <c r="N548" t="s">
        <v>26</v>
      </c>
      <c r="O548" t="s">
        <v>26</v>
      </c>
      <c r="P548" t="s">
        <v>26</v>
      </c>
      <c r="Q548" t="s">
        <v>40</v>
      </c>
      <c r="R548" t="s">
        <v>41</v>
      </c>
      <c r="S548" t="s">
        <v>4333</v>
      </c>
    </row>
    <row r="549" spans="1:19" x14ac:dyDescent="0.2">
      <c r="A549" t="s">
        <v>4334</v>
      </c>
      <c r="B549" t="s">
        <v>26</v>
      </c>
      <c r="C549" t="s">
        <v>4335</v>
      </c>
      <c r="D549" t="s">
        <v>26</v>
      </c>
      <c r="E549" t="s">
        <v>26</v>
      </c>
      <c r="F549" t="s">
        <v>26</v>
      </c>
      <c r="G549" t="s">
        <v>4336</v>
      </c>
      <c r="H549" t="s">
        <v>26</v>
      </c>
      <c r="I549" t="s">
        <v>26</v>
      </c>
      <c r="J549" t="s">
        <v>26</v>
      </c>
      <c r="K549" t="s">
        <v>4337</v>
      </c>
      <c r="L549" t="s">
        <v>4338</v>
      </c>
      <c r="M549" t="s">
        <v>4339</v>
      </c>
      <c r="N549" t="s">
        <v>26</v>
      </c>
      <c r="O549" t="s">
        <v>26</v>
      </c>
      <c r="P549" t="s">
        <v>26</v>
      </c>
      <c r="Q549" t="s">
        <v>26</v>
      </c>
      <c r="R549" t="s">
        <v>1252</v>
      </c>
      <c r="S549" t="s">
        <v>4340</v>
      </c>
    </row>
    <row r="550" spans="1:19" x14ac:dyDescent="0.2">
      <c r="A550" t="s">
        <v>4341</v>
      </c>
      <c r="B550" t="s">
        <v>26</v>
      </c>
      <c r="C550" t="s">
        <v>4342</v>
      </c>
      <c r="D550" t="s">
        <v>26</v>
      </c>
      <c r="E550" t="s">
        <v>26</v>
      </c>
      <c r="F550" t="s">
        <v>26</v>
      </c>
      <c r="G550" t="s">
        <v>4343</v>
      </c>
      <c r="H550" t="s">
        <v>26</v>
      </c>
      <c r="I550" t="s">
        <v>26</v>
      </c>
      <c r="J550" t="s">
        <v>26</v>
      </c>
      <c r="K550" t="s">
        <v>4344</v>
      </c>
      <c r="L550" t="s">
        <v>4341</v>
      </c>
      <c r="M550" t="s">
        <v>26</v>
      </c>
      <c r="N550" t="s">
        <v>26</v>
      </c>
      <c r="O550" t="s">
        <v>26</v>
      </c>
      <c r="P550" t="s">
        <v>26</v>
      </c>
      <c r="Q550" t="s">
        <v>26</v>
      </c>
      <c r="R550" t="s">
        <v>1252</v>
      </c>
      <c r="S550" t="s">
        <v>4345</v>
      </c>
    </row>
    <row r="551" spans="1:19" x14ac:dyDescent="0.2">
      <c r="A551" t="s">
        <v>4346</v>
      </c>
      <c r="B551" t="s">
        <v>26</v>
      </c>
      <c r="C551" t="s">
        <v>4347</v>
      </c>
      <c r="D551" t="s">
        <v>26</v>
      </c>
      <c r="E551" t="s">
        <v>26</v>
      </c>
      <c r="F551" t="s">
        <v>26</v>
      </c>
      <c r="G551" t="s">
        <v>4348</v>
      </c>
      <c r="H551" t="s">
        <v>26</v>
      </c>
      <c r="I551" t="s">
        <v>26</v>
      </c>
      <c r="J551" t="s">
        <v>26</v>
      </c>
      <c r="K551" t="s">
        <v>26</v>
      </c>
      <c r="L551" t="s">
        <v>26</v>
      </c>
      <c r="M551" t="s">
        <v>26</v>
      </c>
      <c r="N551" t="s">
        <v>26</v>
      </c>
      <c r="O551" t="s">
        <v>26</v>
      </c>
      <c r="P551" t="s">
        <v>26</v>
      </c>
      <c r="Q551" t="s">
        <v>26</v>
      </c>
      <c r="R551" t="s">
        <v>1252</v>
      </c>
      <c r="S551" t="s">
        <v>4349</v>
      </c>
    </row>
    <row r="552" spans="1:19" x14ac:dyDescent="0.2">
      <c r="A552" t="s">
        <v>4350</v>
      </c>
      <c r="B552" t="s">
        <v>26</v>
      </c>
      <c r="C552" t="s">
        <v>4351</v>
      </c>
      <c r="D552" t="s">
        <v>26</v>
      </c>
      <c r="E552" t="s">
        <v>26</v>
      </c>
      <c r="F552" t="s">
        <v>26</v>
      </c>
      <c r="G552" t="s">
        <v>4352</v>
      </c>
      <c r="H552" t="s">
        <v>26</v>
      </c>
      <c r="I552" t="s">
        <v>26</v>
      </c>
      <c r="J552" t="s">
        <v>26</v>
      </c>
      <c r="K552" t="s">
        <v>4353</v>
      </c>
      <c r="L552" t="s">
        <v>4354</v>
      </c>
      <c r="M552" t="s">
        <v>26</v>
      </c>
      <c r="N552" t="s">
        <v>26</v>
      </c>
      <c r="O552" t="s">
        <v>26</v>
      </c>
      <c r="P552" t="s">
        <v>26</v>
      </c>
      <c r="Q552" t="s">
        <v>26</v>
      </c>
      <c r="R552" t="s">
        <v>1252</v>
      </c>
      <c r="S552" t="s">
        <v>4355</v>
      </c>
    </row>
    <row r="553" spans="1:19" x14ac:dyDescent="0.2">
      <c r="A553" t="s">
        <v>4356</v>
      </c>
      <c r="B553" t="s">
        <v>26</v>
      </c>
      <c r="C553" t="s">
        <v>4357</v>
      </c>
      <c r="D553" t="s">
        <v>26</v>
      </c>
      <c r="E553" t="s">
        <v>26</v>
      </c>
      <c r="F553" t="s">
        <v>26</v>
      </c>
      <c r="G553" t="s">
        <v>4358</v>
      </c>
      <c r="H553" t="s">
        <v>26</v>
      </c>
      <c r="I553" t="s">
        <v>26</v>
      </c>
      <c r="J553" t="s">
        <v>26</v>
      </c>
      <c r="K553" t="s">
        <v>4359</v>
      </c>
      <c r="L553" t="s">
        <v>26</v>
      </c>
      <c r="M553" t="s">
        <v>26</v>
      </c>
      <c r="N553" t="s">
        <v>26</v>
      </c>
      <c r="O553" t="s">
        <v>26</v>
      </c>
      <c r="P553" t="s">
        <v>26</v>
      </c>
      <c r="Q553" t="s">
        <v>26</v>
      </c>
      <c r="R553" t="s">
        <v>1252</v>
      </c>
      <c r="S553" t="s">
        <v>4360</v>
      </c>
    </row>
    <row r="554" spans="1:19" x14ac:dyDescent="0.2">
      <c r="A554" t="s">
        <v>4361</v>
      </c>
      <c r="B554" t="s">
        <v>26</v>
      </c>
      <c r="C554" t="s">
        <v>4362</v>
      </c>
      <c r="D554" t="s">
        <v>26</v>
      </c>
      <c r="E554" t="s">
        <v>26</v>
      </c>
      <c r="F554" t="s">
        <v>26</v>
      </c>
      <c r="G554" t="s">
        <v>4363</v>
      </c>
      <c r="H554" t="s">
        <v>26</v>
      </c>
      <c r="I554" t="s">
        <v>26</v>
      </c>
      <c r="J554" t="s">
        <v>26</v>
      </c>
      <c r="K554" t="s">
        <v>4364</v>
      </c>
      <c r="L554" t="s">
        <v>4361</v>
      </c>
      <c r="M554" t="s">
        <v>26</v>
      </c>
      <c r="N554" t="s">
        <v>26</v>
      </c>
      <c r="O554" t="s">
        <v>26</v>
      </c>
      <c r="P554" t="s">
        <v>26</v>
      </c>
      <c r="Q554" t="s">
        <v>26</v>
      </c>
      <c r="R554" t="s">
        <v>1252</v>
      </c>
      <c r="S554" t="s">
        <v>4365</v>
      </c>
    </row>
    <row r="555" spans="1:19" x14ac:dyDescent="0.2">
      <c r="A555" t="s">
        <v>4366</v>
      </c>
      <c r="B555" t="s">
        <v>26</v>
      </c>
      <c r="C555" t="s">
        <v>4367</v>
      </c>
      <c r="D555" t="s">
        <v>26</v>
      </c>
      <c r="E555" t="s">
        <v>26</v>
      </c>
      <c r="F555" t="s">
        <v>26</v>
      </c>
      <c r="G555" t="s">
        <v>4368</v>
      </c>
      <c r="H555" t="s">
        <v>26</v>
      </c>
      <c r="I555" t="s">
        <v>26</v>
      </c>
      <c r="J555" t="s">
        <v>26</v>
      </c>
      <c r="K555" t="s">
        <v>26</v>
      </c>
      <c r="L555" t="s">
        <v>26</v>
      </c>
      <c r="M555" t="s">
        <v>26</v>
      </c>
      <c r="N555" t="s">
        <v>26</v>
      </c>
      <c r="O555" t="s">
        <v>26</v>
      </c>
      <c r="P555" t="s">
        <v>26</v>
      </c>
      <c r="Q555" t="s">
        <v>26</v>
      </c>
      <c r="R555" t="s">
        <v>1252</v>
      </c>
      <c r="S555" t="s">
        <v>4369</v>
      </c>
    </row>
    <row r="556" spans="1:19" x14ac:dyDescent="0.2">
      <c r="A556" t="s">
        <v>4370</v>
      </c>
      <c r="B556" t="s">
        <v>26</v>
      </c>
      <c r="C556" t="s">
        <v>4371</v>
      </c>
      <c r="D556" t="s">
        <v>26</v>
      </c>
      <c r="E556" t="s">
        <v>26</v>
      </c>
      <c r="F556" t="s">
        <v>26</v>
      </c>
      <c r="G556" t="s">
        <v>4372</v>
      </c>
      <c r="H556" t="s">
        <v>26</v>
      </c>
      <c r="I556" t="s">
        <v>26</v>
      </c>
      <c r="J556" t="s">
        <v>26</v>
      </c>
      <c r="K556" t="s">
        <v>4373</v>
      </c>
      <c r="L556" t="s">
        <v>4374</v>
      </c>
      <c r="M556" t="s">
        <v>4375</v>
      </c>
      <c r="N556" t="s">
        <v>26</v>
      </c>
      <c r="O556" t="s">
        <v>26</v>
      </c>
      <c r="P556" t="s">
        <v>26</v>
      </c>
      <c r="Q556" t="s">
        <v>26</v>
      </c>
      <c r="R556" t="s">
        <v>1252</v>
      </c>
      <c r="S556" t="s">
        <v>4376</v>
      </c>
    </row>
    <row r="557" spans="1:19" x14ac:dyDescent="0.2">
      <c r="A557" t="s">
        <v>4377</v>
      </c>
      <c r="B557" t="s">
        <v>4377</v>
      </c>
      <c r="C557" t="s">
        <v>4378</v>
      </c>
      <c r="D557" t="s">
        <v>22</v>
      </c>
      <c r="E557" t="b">
        <v>0</v>
      </c>
      <c r="F557" t="s">
        <v>23</v>
      </c>
      <c r="G557" t="s">
        <v>4379</v>
      </c>
      <c r="H557" t="s">
        <v>4380</v>
      </c>
      <c r="I557" t="s">
        <v>26</v>
      </c>
      <c r="J557" t="s">
        <v>27</v>
      </c>
      <c r="K557" t="s">
        <v>4381</v>
      </c>
      <c r="L557" t="s">
        <v>4382</v>
      </c>
      <c r="M557" t="s">
        <v>4383</v>
      </c>
      <c r="N557" t="s">
        <v>26</v>
      </c>
      <c r="O557" t="s">
        <v>26</v>
      </c>
      <c r="P557" t="s">
        <v>26</v>
      </c>
      <c r="Q557" s="1" t="d">
        <v>1950-11-01</v>
      </c>
      <c r="R557" t="s">
        <v>1252</v>
      </c>
      <c r="S557" t="s">
        <v>4384</v>
      </c>
    </row>
    <row r="558" spans="1:19" x14ac:dyDescent="0.2">
      <c r="A558" t="s">
        <v>4385</v>
      </c>
      <c r="B558" t="s">
        <v>26</v>
      </c>
      <c r="C558" t="s">
        <v>4386</v>
      </c>
      <c r="D558" t="s">
        <v>26</v>
      </c>
      <c r="E558" t="s">
        <v>26</v>
      </c>
      <c r="F558" t="s">
        <v>26</v>
      </c>
      <c r="G558" t="s">
        <v>4387</v>
      </c>
      <c r="H558" t="s">
        <v>26</v>
      </c>
      <c r="I558" t="s">
        <v>26</v>
      </c>
      <c r="J558" t="s">
        <v>26</v>
      </c>
      <c r="K558" t="s">
        <v>4388</v>
      </c>
      <c r="L558" t="s">
        <v>4385</v>
      </c>
      <c r="M558" t="s">
        <v>4389</v>
      </c>
      <c r="N558" t="s">
        <v>26</v>
      </c>
      <c r="O558" t="s">
        <v>26</v>
      </c>
      <c r="P558" t="s">
        <v>26</v>
      </c>
      <c r="Q558" t="s">
        <v>26</v>
      </c>
      <c r="R558" t="s">
        <v>4284</v>
      </c>
      <c r="S558" t="s">
        <v>4390</v>
      </c>
    </row>
    <row r="559" spans="1:19" x14ac:dyDescent="0.2">
      <c r="A559" t="s">
        <v>4391</v>
      </c>
      <c r="B559" t="s">
        <v>4391</v>
      </c>
      <c r="C559" t="s">
        <v>4392</v>
      </c>
      <c r="D559" t="s">
        <v>22</v>
      </c>
      <c r="E559" t="b">
        <v>0</v>
      </c>
      <c r="F559" t="s">
        <v>23</v>
      </c>
      <c r="G559" t="s">
        <v>4393</v>
      </c>
      <c r="H559" t="s">
        <v>4394</v>
      </c>
      <c r="I559" t="s">
        <v>26</v>
      </c>
      <c r="J559" t="s">
        <v>27</v>
      </c>
      <c r="K559" t="s">
        <v>4395</v>
      </c>
      <c r="L559" t="s">
        <v>4391</v>
      </c>
      <c r="M559" t="s">
        <v>26</v>
      </c>
      <c r="N559" t="s">
        <v>26</v>
      </c>
      <c r="O559" t="s">
        <v>4396</v>
      </c>
      <c r="P559">
        <f>972-54-5449135</f>
        <v>-5448217</v>
      </c>
      <c r="Q559" s="3" t="d">
        <v>2026-01-10</v>
      </c>
      <c r="R559" t="s">
        <v>2745</v>
      </c>
      <c r="S559" t="s">
        <v>4397</v>
      </c>
    </row>
    <row r="560" spans="1:19" x14ac:dyDescent="0.2">
      <c r="A560" t="s">
        <v>4398</v>
      </c>
      <c r="B560" t="s">
        <v>26</v>
      </c>
      <c r="C560" t="s">
        <v>4399</v>
      </c>
      <c r="D560" t="s">
        <v>26</v>
      </c>
      <c r="E560" t="s">
        <v>26</v>
      </c>
      <c r="F560" t="s">
        <v>26</v>
      </c>
      <c r="G560" t="s">
        <v>4400</v>
      </c>
      <c r="H560" t="s">
        <v>26</v>
      </c>
      <c r="I560" t="s">
        <v>26</v>
      </c>
      <c r="J560" t="s">
        <v>26</v>
      </c>
      <c r="K560" t="s">
        <v>4401</v>
      </c>
      <c r="L560" t="s">
        <v>4402</v>
      </c>
      <c r="M560" t="s">
        <v>26</v>
      </c>
      <c r="N560" t="s">
        <v>26</v>
      </c>
      <c r="O560" t="s">
        <v>26</v>
      </c>
      <c r="P560" t="s">
        <v>26</v>
      </c>
      <c r="Q560" t="s">
        <v>26</v>
      </c>
      <c r="R560" t="s">
        <v>3134</v>
      </c>
      <c r="S560" t="s">
        <v>4403</v>
      </c>
    </row>
    <row r="561" spans="1:19" x14ac:dyDescent="0.2">
      <c r="A561" t="s">
        <v>4404</v>
      </c>
      <c r="B561" t="s">
        <v>26</v>
      </c>
      <c r="C561" t="s">
        <v>4405</v>
      </c>
      <c r="D561" t="s">
        <v>26</v>
      </c>
      <c r="E561" t="s">
        <v>26</v>
      </c>
      <c r="F561" t="s">
        <v>26</v>
      </c>
      <c r="G561" t="s">
        <v>4406</v>
      </c>
      <c r="H561" t="s">
        <v>26</v>
      </c>
      <c r="I561" t="s">
        <v>26</v>
      </c>
      <c r="J561" t="s">
        <v>26</v>
      </c>
      <c r="K561" t="s">
        <v>4407</v>
      </c>
      <c r="L561" t="s">
        <v>4408</v>
      </c>
      <c r="M561" t="s">
        <v>26</v>
      </c>
      <c r="N561" t="s">
        <v>26</v>
      </c>
      <c r="O561" t="s">
        <v>26</v>
      </c>
      <c r="P561" t="s">
        <v>26</v>
      </c>
      <c r="Q561" t="s">
        <v>26</v>
      </c>
      <c r="R561" t="s">
        <v>580</v>
      </c>
      <c r="S561" t="s">
        <v>4409</v>
      </c>
    </row>
    <row r="562" spans="1:19" x14ac:dyDescent="0.2">
      <c r="A562" t="s">
        <v>4410</v>
      </c>
      <c r="B562" t="s">
        <v>4410</v>
      </c>
      <c r="C562" t="s">
        <v>4411</v>
      </c>
      <c r="D562" t="s">
        <v>22</v>
      </c>
      <c r="E562" t="b">
        <v>0</v>
      </c>
      <c r="F562" t="s">
        <v>23</v>
      </c>
      <c r="G562" t="s">
        <v>4412</v>
      </c>
      <c r="H562" t="s">
        <v>4413</v>
      </c>
      <c r="I562" s="2" t="d">
        <v>2020-03-26</v>
      </c>
      <c r="J562" t="s">
        <v>27</v>
      </c>
      <c r="K562" t="s">
        <v>4414</v>
      </c>
      <c r="L562" t="s">
        <v>4410</v>
      </c>
      <c r="M562" t="s">
        <v>4415</v>
      </c>
      <c r="N562" t="s">
        <v>4416</v>
      </c>
      <c r="O562" t="s">
        <v>4417</v>
      </c>
      <c r="P562" t="s">
        <v>4418</v>
      </c>
      <c r="Q562" s="1" t="d">
        <v>1950-11-01</v>
      </c>
      <c r="R562" t="s">
        <v>41</v>
      </c>
      <c r="S562" t="s">
        <v>4419</v>
      </c>
    </row>
    <row r="563" spans="1:19" x14ac:dyDescent="0.2">
      <c r="A563" t="s">
        <v>4420</v>
      </c>
      <c r="B563" t="s">
        <v>4420</v>
      </c>
      <c r="C563" t="s">
        <v>4421</v>
      </c>
      <c r="D563" t="s">
        <v>22</v>
      </c>
      <c r="E563" t="b">
        <v>0</v>
      </c>
      <c r="F563" t="s">
        <v>23</v>
      </c>
      <c r="G563" t="s">
        <v>4422</v>
      </c>
      <c r="H563" t="s">
        <v>4423</v>
      </c>
      <c r="I563" t="s">
        <v>26</v>
      </c>
      <c r="J563" t="s">
        <v>27</v>
      </c>
      <c r="K563" t="s">
        <v>4424</v>
      </c>
      <c r="L563" t="s">
        <v>4425</v>
      </c>
      <c r="M563" t="s">
        <v>4426</v>
      </c>
      <c r="N563" t="s">
        <v>4427</v>
      </c>
      <c r="O563" t="s">
        <v>26</v>
      </c>
      <c r="P563" t="s">
        <v>26</v>
      </c>
      <c r="Q563" t="s">
        <v>40</v>
      </c>
      <c r="R563" t="s">
        <v>907</v>
      </c>
      <c r="S563" t="s">
        <v>4428</v>
      </c>
    </row>
    <row r="564" spans="1:19" x14ac:dyDescent="0.2">
      <c r="A564" t="s">
        <v>4429</v>
      </c>
      <c r="B564" t="s">
        <v>4430</v>
      </c>
      <c r="C564" t="s">
        <v>4431</v>
      </c>
      <c r="D564" t="s">
        <v>22</v>
      </c>
      <c r="E564" t="b">
        <v>0</v>
      </c>
      <c r="F564" t="s">
        <v>26</v>
      </c>
      <c r="G564" t="s">
        <v>4432</v>
      </c>
      <c r="H564" t="s">
        <v>67</v>
      </c>
      <c r="I564" t="s">
        <v>26</v>
      </c>
      <c r="J564" t="s">
        <v>27</v>
      </c>
      <c r="K564" t="s">
        <v>4433</v>
      </c>
      <c r="L564" t="s">
        <v>4434</v>
      </c>
      <c r="M564" t="s">
        <v>4435</v>
      </c>
      <c r="N564" t="s">
        <v>26</v>
      </c>
      <c r="O564" t="s">
        <v>26</v>
      </c>
      <c r="P564" t="s">
        <v>26</v>
      </c>
      <c r="Q564" s="3" t="d">
        <v>2026-01-10</v>
      </c>
      <c r="R564" t="s">
        <v>4436</v>
      </c>
      <c r="S564" t="s">
        <v>4437</v>
      </c>
    </row>
    <row r="565" spans="1:19" x14ac:dyDescent="0.2">
      <c r="A565" t="s">
        <v>4438</v>
      </c>
      <c r="B565" t="s">
        <v>4438</v>
      </c>
      <c r="C565" t="s">
        <v>4439</v>
      </c>
      <c r="D565" t="s">
        <v>22</v>
      </c>
      <c r="E565" t="b">
        <v>0</v>
      </c>
      <c r="F565" t="s">
        <v>23</v>
      </c>
      <c r="G565" t="s">
        <v>4440</v>
      </c>
      <c r="H565" t="s">
        <v>4441</v>
      </c>
      <c r="I565" t="s">
        <v>26</v>
      </c>
      <c r="J565" t="s">
        <v>27</v>
      </c>
      <c r="K565" t="s">
        <v>4442</v>
      </c>
      <c r="L565" t="s">
        <v>4443</v>
      </c>
      <c r="M565" t="s">
        <v>4444</v>
      </c>
      <c r="N565" t="s">
        <v>4445</v>
      </c>
      <c r="O565" t="s">
        <v>4446</v>
      </c>
      <c r="P565" t="s">
        <v>4447</v>
      </c>
      <c r="Q565" s="3" t="d">
        <v>2026-01-10</v>
      </c>
      <c r="R565" t="s">
        <v>4448</v>
      </c>
      <c r="S565" t="s">
        <v>4449</v>
      </c>
    </row>
    <row r="566" spans="1:19" x14ac:dyDescent="0.2">
      <c r="A566" t="s">
        <v>4450</v>
      </c>
      <c r="B566" t="s">
        <v>4451</v>
      </c>
      <c r="C566" t="s">
        <v>4452</v>
      </c>
      <c r="D566" t="s">
        <v>22</v>
      </c>
      <c r="E566" t="b">
        <v>0</v>
      </c>
      <c r="F566" t="s">
        <v>23</v>
      </c>
      <c r="G566" t="s">
        <v>4453</v>
      </c>
      <c r="H566" t="s">
        <v>4454</v>
      </c>
      <c r="I566" s="2" t="d">
        <v>2021-01-01</v>
      </c>
      <c r="J566" t="s">
        <v>27</v>
      </c>
      <c r="K566" t="s">
        <v>4455</v>
      </c>
      <c r="L566" t="s">
        <v>4456</v>
      </c>
      <c r="M566" t="s">
        <v>4457</v>
      </c>
      <c r="N566" t="s">
        <v>4458</v>
      </c>
      <c r="O566" t="s">
        <v>26</v>
      </c>
      <c r="P566" t="s">
        <v>26</v>
      </c>
      <c r="Q566" s="1" t="d">
        <v>1950-11-01</v>
      </c>
      <c r="R566" t="s">
        <v>41</v>
      </c>
      <c r="S566" t="s">
        <v>4459</v>
      </c>
    </row>
    <row r="567" spans="1:19" x14ac:dyDescent="0.2">
      <c r="A567" t="s">
        <v>4460</v>
      </c>
      <c r="B567" t="s">
        <v>4460</v>
      </c>
      <c r="C567" t="s">
        <v>4461</v>
      </c>
      <c r="D567" t="s">
        <v>22</v>
      </c>
      <c r="E567" t="b">
        <v>0</v>
      </c>
      <c r="F567" t="s">
        <v>23</v>
      </c>
      <c r="G567" t="s">
        <v>4462</v>
      </c>
      <c r="H567" t="s">
        <v>56</v>
      </c>
      <c r="I567" t="s">
        <v>26</v>
      </c>
      <c r="J567" t="s">
        <v>27</v>
      </c>
      <c r="K567" t="s">
        <v>4463</v>
      </c>
      <c r="L567" t="s">
        <v>26</v>
      </c>
      <c r="M567" t="s">
        <v>4464</v>
      </c>
      <c r="N567" t="s">
        <v>26</v>
      </c>
      <c r="O567" t="s">
        <v>4465</v>
      </c>
      <c r="P567" t="s">
        <v>4466</v>
      </c>
      <c r="Q567" t="s">
        <v>26</v>
      </c>
      <c r="R567" t="s">
        <v>4467</v>
      </c>
      <c r="S567" t="s">
        <v>4468</v>
      </c>
    </row>
    <row r="568" spans="1:19" x14ac:dyDescent="0.2">
      <c r="A568" t="s">
        <v>4469</v>
      </c>
      <c r="B568" t="s">
        <v>4469</v>
      </c>
      <c r="C568" t="s">
        <v>4470</v>
      </c>
      <c r="D568" t="s">
        <v>22</v>
      </c>
      <c r="E568" t="b">
        <v>0</v>
      </c>
      <c r="F568" t="s">
        <v>23</v>
      </c>
      <c r="G568" t="s">
        <v>4471</v>
      </c>
      <c r="H568" t="s">
        <v>691</v>
      </c>
      <c r="I568" s="2" t="d">
        <v>2023-01-01</v>
      </c>
      <c r="J568" t="s">
        <v>27</v>
      </c>
      <c r="K568" t="s">
        <v>4472</v>
      </c>
      <c r="L568" t="s">
        <v>4473</v>
      </c>
      <c r="M568" t="s">
        <v>4474</v>
      </c>
      <c r="N568" t="s">
        <v>4475</v>
      </c>
      <c r="O568" t="s">
        <v>4476</v>
      </c>
      <c r="P568" t="s">
        <v>26</v>
      </c>
      <c r="Q568" s="1" t="d">
        <v>1950-11-01</v>
      </c>
      <c r="R568" t="s">
        <v>41</v>
      </c>
      <c r="S568" t="s">
        <v>4477</v>
      </c>
    </row>
    <row r="569" spans="1:19" x14ac:dyDescent="0.2">
      <c r="A569" t="s">
        <v>4478</v>
      </c>
      <c r="B569" t="s">
        <v>3552</v>
      </c>
      <c r="C569" t="s">
        <v>4479</v>
      </c>
      <c r="D569" t="s">
        <v>22</v>
      </c>
      <c r="E569" t="b">
        <v>0</v>
      </c>
      <c r="F569" t="s">
        <v>23</v>
      </c>
      <c r="G569" t="s">
        <v>4480</v>
      </c>
      <c r="H569" t="s">
        <v>3555</v>
      </c>
      <c r="I569" s="2" t="d">
        <v>2015-01-01</v>
      </c>
      <c r="J569" t="s">
        <v>27</v>
      </c>
      <c r="K569" t="s">
        <v>4481</v>
      </c>
      <c r="L569" t="s">
        <v>4482</v>
      </c>
      <c r="M569" t="s">
        <v>3557</v>
      </c>
      <c r="N569" t="s">
        <v>26</v>
      </c>
      <c r="O569" t="s">
        <v>26</v>
      </c>
      <c r="P569" t="s">
        <v>26</v>
      </c>
      <c r="Q569" t="s">
        <v>54</v>
      </c>
      <c r="R569" t="s">
        <v>2753</v>
      </c>
      <c r="S569" t="s">
        <v>4483</v>
      </c>
    </row>
    <row r="570" spans="1:19" x14ac:dyDescent="0.2">
      <c r="A570" t="s">
        <v>4484</v>
      </c>
      <c r="B570" t="s">
        <v>26</v>
      </c>
      <c r="C570" t="s">
        <v>4485</v>
      </c>
      <c r="D570" t="s">
        <v>26</v>
      </c>
      <c r="E570" t="s">
        <v>26</v>
      </c>
      <c r="F570" t="s">
        <v>26</v>
      </c>
      <c r="G570" t="s">
        <v>4486</v>
      </c>
      <c r="H570" t="s">
        <v>26</v>
      </c>
      <c r="I570" t="s">
        <v>26</v>
      </c>
      <c r="J570" t="s">
        <v>26</v>
      </c>
      <c r="K570" t="s">
        <v>4487</v>
      </c>
      <c r="L570" t="s">
        <v>4488</v>
      </c>
      <c r="M570" t="s">
        <v>4489</v>
      </c>
      <c r="N570" t="s">
        <v>26</v>
      </c>
      <c r="O570" t="s">
        <v>26</v>
      </c>
      <c r="P570" t="s">
        <v>26</v>
      </c>
      <c r="Q570" t="s">
        <v>26</v>
      </c>
      <c r="R570" t="s">
        <v>4490</v>
      </c>
      <c r="S570" t="s">
        <v>4491</v>
      </c>
    </row>
    <row r="571" spans="1:19" x14ac:dyDescent="0.2">
      <c r="A571" t="s">
        <v>4492</v>
      </c>
      <c r="B571" t="s">
        <v>4493</v>
      </c>
      <c r="C571" t="s">
        <v>4494</v>
      </c>
      <c r="D571" t="s">
        <v>22</v>
      </c>
      <c r="E571" t="b">
        <v>0</v>
      </c>
      <c r="F571" t="s">
        <v>23</v>
      </c>
      <c r="G571" t="s">
        <v>4495</v>
      </c>
      <c r="H571" t="s">
        <v>1064</v>
      </c>
      <c r="I571" t="s">
        <v>26</v>
      </c>
      <c r="J571" t="s">
        <v>27</v>
      </c>
      <c r="K571" t="s">
        <v>4496</v>
      </c>
      <c r="L571" t="s">
        <v>4497</v>
      </c>
      <c r="M571" t="s">
        <v>4498</v>
      </c>
      <c r="N571" t="s">
        <v>4499</v>
      </c>
      <c r="O571" t="s">
        <v>4500</v>
      </c>
      <c r="P571" t="s">
        <v>26</v>
      </c>
      <c r="Q571" t="s">
        <v>40</v>
      </c>
      <c r="R571" t="s">
        <v>4501</v>
      </c>
      <c r="S571" t="s">
        <v>4502</v>
      </c>
    </row>
    <row r="572" spans="1:19" x14ac:dyDescent="0.2">
      <c r="A572" t="s">
        <v>4503</v>
      </c>
      <c r="B572" t="s">
        <v>26</v>
      </c>
      <c r="C572" t="s">
        <v>4504</v>
      </c>
      <c r="D572" t="s">
        <v>26</v>
      </c>
      <c r="E572" t="s">
        <v>26</v>
      </c>
      <c r="F572" t="s">
        <v>26</v>
      </c>
      <c r="G572" t="s">
        <v>4505</v>
      </c>
      <c r="H572" t="s">
        <v>26</v>
      </c>
      <c r="I572" t="s">
        <v>26</v>
      </c>
      <c r="J572" t="s">
        <v>26</v>
      </c>
      <c r="K572" t="s">
        <v>4506</v>
      </c>
      <c r="L572" t="s">
        <v>4507</v>
      </c>
      <c r="M572" t="s">
        <v>4508</v>
      </c>
      <c r="N572" t="s">
        <v>4509</v>
      </c>
      <c r="O572" t="s">
        <v>26</v>
      </c>
      <c r="P572" t="s">
        <v>26</v>
      </c>
      <c r="Q572" t="s">
        <v>26</v>
      </c>
      <c r="R572" t="s">
        <v>4206</v>
      </c>
      <c r="S572" t="s">
        <v>4510</v>
      </c>
    </row>
    <row r="573" spans="1:19" x14ac:dyDescent="0.2">
      <c r="A573" t="s">
        <v>4511</v>
      </c>
      <c r="B573" t="s">
        <v>4511</v>
      </c>
      <c r="C573" t="s">
        <v>4512</v>
      </c>
      <c r="D573" t="s">
        <v>22</v>
      </c>
      <c r="E573" t="b">
        <v>0</v>
      </c>
      <c r="F573" t="s">
        <v>23</v>
      </c>
      <c r="G573" t="s">
        <v>4513</v>
      </c>
      <c r="H573" t="s">
        <v>4514</v>
      </c>
      <c r="I573" t="s">
        <v>26</v>
      </c>
      <c r="J573" t="s">
        <v>27</v>
      </c>
      <c r="K573" t="s">
        <v>4515</v>
      </c>
      <c r="L573" t="s">
        <v>4511</v>
      </c>
      <c r="M573" t="s">
        <v>4516</v>
      </c>
      <c r="N573" t="s">
        <v>26</v>
      </c>
      <c r="O573" t="s">
        <v>4517</v>
      </c>
      <c r="P573" t="s">
        <v>26</v>
      </c>
      <c r="Q573" s="3" t="d">
        <v>2026-01-10</v>
      </c>
      <c r="R573" t="s">
        <v>4518</v>
      </c>
      <c r="S573" t="s">
        <v>4519</v>
      </c>
    </row>
    <row r="574" spans="1:19" x14ac:dyDescent="0.2">
      <c r="A574" t="s">
        <v>4520</v>
      </c>
      <c r="B574" t="s">
        <v>4520</v>
      </c>
      <c r="C574" t="s">
        <v>4521</v>
      </c>
      <c r="D574" t="s">
        <v>22</v>
      </c>
      <c r="E574" t="b">
        <v>0</v>
      </c>
      <c r="F574" t="s">
        <v>23</v>
      </c>
      <c r="G574" t="s">
        <v>4522</v>
      </c>
      <c r="H574" t="s">
        <v>26</v>
      </c>
      <c r="I574" t="s">
        <v>26</v>
      </c>
      <c r="J574" t="s">
        <v>27</v>
      </c>
      <c r="K574" t="s">
        <v>4523</v>
      </c>
      <c r="L574" t="s">
        <v>4524</v>
      </c>
      <c r="M574" t="s">
        <v>4525</v>
      </c>
      <c r="N574" t="s">
        <v>26</v>
      </c>
      <c r="O574" t="s">
        <v>26</v>
      </c>
      <c r="P574" t="s">
        <v>26</v>
      </c>
      <c r="Q574" s="3" t="d">
        <v>2026-01-10</v>
      </c>
      <c r="R574" t="s">
        <v>3844</v>
      </c>
      <c r="S574" t="s">
        <v>4526</v>
      </c>
    </row>
    <row r="575" spans="1:19" x14ac:dyDescent="0.2">
      <c r="A575" t="s">
        <v>4527</v>
      </c>
      <c r="B575" t="s">
        <v>4528</v>
      </c>
      <c r="C575" t="s">
        <v>4529</v>
      </c>
      <c r="D575" t="s">
        <v>22</v>
      </c>
      <c r="E575" t="b">
        <v>0</v>
      </c>
      <c r="F575" t="s">
        <v>23</v>
      </c>
      <c r="G575" t="s">
        <v>4530</v>
      </c>
      <c r="H575" t="s">
        <v>4531</v>
      </c>
      <c r="I575" t="s">
        <v>26</v>
      </c>
      <c r="J575" t="s">
        <v>27</v>
      </c>
      <c r="K575" t="s">
        <v>4532</v>
      </c>
      <c r="L575" t="s">
        <v>26</v>
      </c>
      <c r="M575" t="s">
        <v>4533</v>
      </c>
      <c r="N575" t="s">
        <v>4534</v>
      </c>
      <c r="O575" t="s">
        <v>4535</v>
      </c>
      <c r="P575" t="s">
        <v>4536</v>
      </c>
      <c r="Q575" t="s">
        <v>218</v>
      </c>
      <c r="R575" t="s">
        <v>41</v>
      </c>
      <c r="S575" t="s">
        <v>4537</v>
      </c>
    </row>
    <row r="576" spans="1:19" x14ac:dyDescent="0.2">
      <c r="A576" t="s">
        <v>4538</v>
      </c>
      <c r="B576" t="s">
        <v>4538</v>
      </c>
      <c r="C576" t="s">
        <v>4539</v>
      </c>
      <c r="D576" t="s">
        <v>22</v>
      </c>
      <c r="E576" t="b">
        <v>0</v>
      </c>
      <c r="F576" t="s">
        <v>23</v>
      </c>
      <c r="G576" t="s">
        <v>4540</v>
      </c>
      <c r="H576" t="s">
        <v>4541</v>
      </c>
      <c r="I576" t="s">
        <v>26</v>
      </c>
      <c r="J576" t="s">
        <v>27</v>
      </c>
      <c r="K576" t="s">
        <v>4542</v>
      </c>
      <c r="L576" t="s">
        <v>4543</v>
      </c>
      <c r="M576" t="s">
        <v>4544</v>
      </c>
      <c r="N576" t="s">
        <v>26</v>
      </c>
      <c r="O576" t="s">
        <v>4545</v>
      </c>
      <c r="P576" t="s">
        <v>4546</v>
      </c>
      <c r="Q576" t="s">
        <v>54</v>
      </c>
      <c r="R576" t="s">
        <v>269</v>
      </c>
      <c r="S576" t="s">
        <v>4547</v>
      </c>
    </row>
    <row r="577" spans="1:19" x14ac:dyDescent="0.2">
      <c r="A577" t="s">
        <v>4548</v>
      </c>
      <c r="B577" t="s">
        <v>4548</v>
      </c>
      <c r="C577" t="s">
        <v>4549</v>
      </c>
      <c r="D577" t="s">
        <v>22</v>
      </c>
      <c r="E577" t="b">
        <v>0</v>
      </c>
      <c r="F577" t="s">
        <v>23</v>
      </c>
      <c r="G577" t="s">
        <v>4550</v>
      </c>
      <c r="H577" t="s">
        <v>2144</v>
      </c>
      <c r="I577" t="s">
        <v>26</v>
      </c>
      <c r="J577" t="s">
        <v>27</v>
      </c>
      <c r="K577" t="s">
        <v>4551</v>
      </c>
      <c r="L577" t="s">
        <v>4552</v>
      </c>
      <c r="M577" t="s">
        <v>4553</v>
      </c>
      <c r="N577" t="s">
        <v>4554</v>
      </c>
      <c r="O577" t="s">
        <v>4555</v>
      </c>
      <c r="P577">
        <v>84912757079</v>
      </c>
      <c r="Q577" s="3" t="d">
        <v>2026-01-10</v>
      </c>
      <c r="R577" t="s">
        <v>269</v>
      </c>
      <c r="S577" t="s">
        <v>4556</v>
      </c>
    </row>
    <row r="578" spans="1:19" x14ac:dyDescent="0.2">
      <c r="A578" t="s">
        <v>4557</v>
      </c>
      <c r="B578" t="s">
        <v>4557</v>
      </c>
      <c r="C578" t="s">
        <v>4558</v>
      </c>
      <c r="D578" t="s">
        <v>22</v>
      </c>
      <c r="E578" t="b">
        <v>0</v>
      </c>
      <c r="F578" t="s">
        <v>23</v>
      </c>
      <c r="G578" t="s">
        <v>4559</v>
      </c>
      <c r="H578" t="s">
        <v>246</v>
      </c>
      <c r="I578" t="s">
        <v>26</v>
      </c>
      <c r="J578" t="s">
        <v>27</v>
      </c>
      <c r="K578" t="s">
        <v>4560</v>
      </c>
      <c r="L578" t="s">
        <v>4557</v>
      </c>
      <c r="M578" t="s">
        <v>4561</v>
      </c>
      <c r="N578" t="s">
        <v>4562</v>
      </c>
      <c r="O578" t="s">
        <v>26</v>
      </c>
      <c r="P578" t="s">
        <v>4563</v>
      </c>
      <c r="Q578" t="s">
        <v>54</v>
      </c>
      <c r="R578" t="s">
        <v>4564</v>
      </c>
      <c r="S578" t="s">
        <v>4565</v>
      </c>
    </row>
    <row r="579" spans="1:19" x14ac:dyDescent="0.2">
      <c r="A579" t="s">
        <v>4566</v>
      </c>
      <c r="B579" t="s">
        <v>4566</v>
      </c>
      <c r="C579" t="s">
        <v>4567</v>
      </c>
      <c r="D579" t="s">
        <v>22</v>
      </c>
      <c r="E579" t="b">
        <v>0</v>
      </c>
      <c r="F579" t="s">
        <v>26</v>
      </c>
      <c r="G579" t="s">
        <v>4568</v>
      </c>
      <c r="H579" t="s">
        <v>1836</v>
      </c>
      <c r="I579" t="s">
        <v>26</v>
      </c>
      <c r="J579" t="s">
        <v>27</v>
      </c>
      <c r="K579" t="s">
        <v>4569</v>
      </c>
      <c r="L579" t="s">
        <v>4570</v>
      </c>
      <c r="M579" t="s">
        <v>4571</v>
      </c>
      <c r="N579" t="s">
        <v>4572</v>
      </c>
      <c r="O579" t="s">
        <v>26</v>
      </c>
      <c r="P579" t="s">
        <v>26</v>
      </c>
      <c r="Q579" s="3" t="d">
        <v>2026-01-10</v>
      </c>
      <c r="R579" t="s">
        <v>269</v>
      </c>
      <c r="S579" t="s">
        <v>4573</v>
      </c>
    </row>
    <row r="580" spans="1:19" x14ac:dyDescent="0.2">
      <c r="A580" t="s">
        <v>4574</v>
      </c>
      <c r="B580" t="s">
        <v>4574</v>
      </c>
      <c r="C580" t="s">
        <v>4575</v>
      </c>
      <c r="D580" t="s">
        <v>22</v>
      </c>
      <c r="E580" t="b">
        <v>0</v>
      </c>
      <c r="F580" t="s">
        <v>23</v>
      </c>
      <c r="G580" t="s">
        <v>4576</v>
      </c>
      <c r="H580" t="s">
        <v>4577</v>
      </c>
      <c r="I580" s="2" t="d">
        <v>2017-07-28</v>
      </c>
      <c r="J580" t="s">
        <v>27</v>
      </c>
      <c r="K580" t="s">
        <v>4578</v>
      </c>
      <c r="L580" t="s">
        <v>4579</v>
      </c>
      <c r="M580" t="s">
        <v>4580</v>
      </c>
      <c r="N580" t="s">
        <v>4581</v>
      </c>
      <c r="O580" t="s">
        <v>4582</v>
      </c>
      <c r="P580" t="s">
        <v>26</v>
      </c>
      <c r="Q580" s="3" t="d">
        <v>2026-01-10</v>
      </c>
      <c r="R580" t="s">
        <v>41</v>
      </c>
      <c r="S580" t="s">
        <v>4583</v>
      </c>
    </row>
    <row r="581" spans="1:19" x14ac:dyDescent="0.2">
      <c r="A581" t="s">
        <v>4584</v>
      </c>
      <c r="B581" t="s">
        <v>4585</v>
      </c>
      <c r="C581" t="s">
        <v>4586</v>
      </c>
      <c r="D581" t="s">
        <v>22</v>
      </c>
      <c r="E581" t="b">
        <v>0</v>
      </c>
      <c r="F581" t="s">
        <v>23</v>
      </c>
      <c r="G581" t="s">
        <v>4587</v>
      </c>
      <c r="H581" t="s">
        <v>2744</v>
      </c>
      <c r="I581" t="s">
        <v>26</v>
      </c>
      <c r="J581" t="s">
        <v>27</v>
      </c>
      <c r="K581" t="s">
        <v>4588</v>
      </c>
      <c r="L581" t="s">
        <v>4589</v>
      </c>
      <c r="M581" t="s">
        <v>4590</v>
      </c>
      <c r="N581" t="s">
        <v>26</v>
      </c>
      <c r="O581" t="s">
        <v>4591</v>
      </c>
      <c r="P581" t="s">
        <v>26</v>
      </c>
      <c r="Q581" s="1" t="d">
        <v>1950-11-01</v>
      </c>
      <c r="R581" t="s">
        <v>4592</v>
      </c>
      <c r="S581" t="s">
        <v>4593</v>
      </c>
    </row>
    <row r="582" spans="1:19" x14ac:dyDescent="0.2">
      <c r="A582" t="s">
        <v>4594</v>
      </c>
      <c r="B582" t="s">
        <v>4594</v>
      </c>
      <c r="C582" t="s">
        <v>4595</v>
      </c>
      <c r="D582" t="s">
        <v>22</v>
      </c>
      <c r="E582" t="b">
        <v>0</v>
      </c>
      <c r="F582" t="s">
        <v>23</v>
      </c>
      <c r="G582" t="s">
        <v>4596</v>
      </c>
      <c r="H582" t="s">
        <v>1030</v>
      </c>
      <c r="I582" t="s">
        <v>26</v>
      </c>
      <c r="J582" t="s">
        <v>27</v>
      </c>
      <c r="K582" t="s">
        <v>4597</v>
      </c>
      <c r="L582" t="s">
        <v>4594</v>
      </c>
      <c r="M582" t="s">
        <v>4598</v>
      </c>
      <c r="N582" t="s">
        <v>26</v>
      </c>
      <c r="O582" t="s">
        <v>26</v>
      </c>
      <c r="P582" t="s">
        <v>26</v>
      </c>
      <c r="Q582" s="1" t="d">
        <v>1950-11-01</v>
      </c>
      <c r="R582" t="s">
        <v>2562</v>
      </c>
      <c r="S582" t="s">
        <v>4599</v>
      </c>
    </row>
    <row r="583" spans="1:19" x14ac:dyDescent="0.2">
      <c r="A583" t="s">
        <v>4600</v>
      </c>
      <c r="B583" t="s">
        <v>4600</v>
      </c>
      <c r="C583" t="s">
        <v>4601</v>
      </c>
      <c r="D583" t="s">
        <v>22</v>
      </c>
      <c r="E583" t="b">
        <v>0</v>
      </c>
      <c r="F583" t="s">
        <v>23</v>
      </c>
      <c r="G583" t="s">
        <v>4602</v>
      </c>
      <c r="H583" t="s">
        <v>2097</v>
      </c>
      <c r="I583" s="2" t="d">
        <v>2018-12-01</v>
      </c>
      <c r="J583" t="s">
        <v>27</v>
      </c>
      <c r="K583" t="s">
        <v>4603</v>
      </c>
      <c r="L583" t="s">
        <v>4604</v>
      </c>
      <c r="M583" t="s">
        <v>4605</v>
      </c>
      <c r="N583" t="s">
        <v>4606</v>
      </c>
      <c r="O583" t="s">
        <v>4607</v>
      </c>
      <c r="P583" t="s">
        <v>4608</v>
      </c>
      <c r="Q583" t="s">
        <v>218</v>
      </c>
      <c r="R583" t="s">
        <v>41</v>
      </c>
      <c r="S583" t="s">
        <v>4609</v>
      </c>
    </row>
    <row r="584" spans="1:19" x14ac:dyDescent="0.2">
      <c r="A584" t="s">
        <v>4610</v>
      </c>
      <c r="B584" t="s">
        <v>4610</v>
      </c>
      <c r="C584" t="s">
        <v>4611</v>
      </c>
      <c r="D584" t="s">
        <v>22</v>
      </c>
      <c r="E584" t="b">
        <v>0</v>
      </c>
      <c r="F584" t="s">
        <v>23</v>
      </c>
      <c r="G584" t="s">
        <v>4612</v>
      </c>
      <c r="H584" t="s">
        <v>188</v>
      </c>
      <c r="I584" s="2" t="d">
        <v>2014-01-01</v>
      </c>
      <c r="J584" t="s">
        <v>27</v>
      </c>
      <c r="K584" t="s">
        <v>4613</v>
      </c>
      <c r="L584" t="s">
        <v>4614</v>
      </c>
      <c r="M584" t="s">
        <v>4615</v>
      </c>
      <c r="N584" t="s">
        <v>4616</v>
      </c>
      <c r="O584" t="s">
        <v>4617</v>
      </c>
      <c r="P584" t="s">
        <v>26</v>
      </c>
      <c r="Q584" t="s">
        <v>113</v>
      </c>
      <c r="R584" t="s">
        <v>41</v>
      </c>
      <c r="S584" t="s">
        <v>4618</v>
      </c>
    </row>
    <row r="585" spans="1:19" x14ac:dyDescent="0.2">
      <c r="A585" t="s">
        <v>4619</v>
      </c>
      <c r="B585" t="s">
        <v>4619</v>
      </c>
      <c r="C585" t="s">
        <v>4620</v>
      </c>
      <c r="D585" t="s">
        <v>22</v>
      </c>
      <c r="E585" t="b">
        <v>1</v>
      </c>
      <c r="F585" t="s">
        <v>23</v>
      </c>
      <c r="G585" t="s">
        <v>4621</v>
      </c>
      <c r="H585" t="s">
        <v>4622</v>
      </c>
      <c r="I585" s="2" t="d">
        <v>2012-01-01</v>
      </c>
      <c r="J585" t="s">
        <v>27</v>
      </c>
      <c r="K585" t="s">
        <v>4623</v>
      </c>
      <c r="L585">
        <v>5190335</v>
      </c>
      <c r="M585" t="s">
        <v>4624</v>
      </c>
      <c r="N585" t="s">
        <v>4625</v>
      </c>
      <c r="O585" t="s">
        <v>4626</v>
      </c>
      <c r="P585" t="s">
        <v>26</v>
      </c>
      <c r="Q585" t="s">
        <v>54</v>
      </c>
      <c r="R585" t="s">
        <v>41</v>
      </c>
      <c r="S585" t="s">
        <v>4627</v>
      </c>
    </row>
    <row r="586" spans="1:19" x14ac:dyDescent="0.2">
      <c r="A586" t="s">
        <v>4628</v>
      </c>
      <c r="B586" t="s">
        <v>4628</v>
      </c>
      <c r="C586" t="s">
        <v>4629</v>
      </c>
      <c r="D586" t="s">
        <v>22</v>
      </c>
      <c r="E586" t="b">
        <v>0</v>
      </c>
      <c r="F586" t="s">
        <v>23</v>
      </c>
      <c r="G586" t="s">
        <v>4630</v>
      </c>
      <c r="H586" t="s">
        <v>146</v>
      </c>
      <c r="I586" t="s">
        <v>26</v>
      </c>
      <c r="J586" t="s">
        <v>27</v>
      </c>
      <c r="K586" t="s">
        <v>4631</v>
      </c>
      <c r="L586" t="s">
        <v>4632</v>
      </c>
      <c r="M586" t="s">
        <v>4633</v>
      </c>
      <c r="N586" t="s">
        <v>4634</v>
      </c>
      <c r="O586" t="s">
        <v>26</v>
      </c>
      <c r="P586" t="s">
        <v>26</v>
      </c>
      <c r="Q586" t="s">
        <v>40</v>
      </c>
      <c r="R586" t="s">
        <v>41</v>
      </c>
      <c r="S586" t="s">
        <v>4635</v>
      </c>
    </row>
    <row r="587" spans="1:19" x14ac:dyDescent="0.2">
      <c r="A587" t="s">
        <v>4636</v>
      </c>
      <c r="B587" t="s">
        <v>4637</v>
      </c>
      <c r="C587" t="s">
        <v>4638</v>
      </c>
      <c r="D587" t="s">
        <v>22</v>
      </c>
      <c r="E587" t="b">
        <v>0</v>
      </c>
      <c r="F587" t="s">
        <v>23</v>
      </c>
      <c r="G587" t="s">
        <v>4639</v>
      </c>
      <c r="H587" t="s">
        <v>4640</v>
      </c>
      <c r="I587" s="2" t="d">
        <v>2016-10-04</v>
      </c>
      <c r="J587" t="s">
        <v>27</v>
      </c>
      <c r="K587" t="s">
        <v>4641</v>
      </c>
      <c r="L587" t="s">
        <v>4636</v>
      </c>
      <c r="M587" t="s">
        <v>4642</v>
      </c>
      <c r="N587" t="s">
        <v>4643</v>
      </c>
      <c r="O587" t="s">
        <v>4644</v>
      </c>
      <c r="P587" t="s">
        <v>4645</v>
      </c>
      <c r="Q587" t="s">
        <v>40</v>
      </c>
      <c r="R587" t="s">
        <v>41</v>
      </c>
      <c r="S587" t="s">
        <v>4646</v>
      </c>
    </row>
    <row r="588" spans="1:19" x14ac:dyDescent="0.2">
      <c r="A588" t="s">
        <v>4647</v>
      </c>
      <c r="B588" t="s">
        <v>26</v>
      </c>
      <c r="C588" t="s">
        <v>4648</v>
      </c>
      <c r="D588" t="s">
        <v>26</v>
      </c>
      <c r="E588" t="s">
        <v>26</v>
      </c>
      <c r="F588" t="s">
        <v>26</v>
      </c>
      <c r="G588" t="s">
        <v>4649</v>
      </c>
      <c r="H588" t="s">
        <v>26</v>
      </c>
      <c r="I588" t="s">
        <v>26</v>
      </c>
      <c r="J588" t="s">
        <v>26</v>
      </c>
      <c r="K588" t="s">
        <v>4650</v>
      </c>
      <c r="L588" t="s">
        <v>4651</v>
      </c>
      <c r="M588" t="s">
        <v>26</v>
      </c>
      <c r="N588" t="s">
        <v>26</v>
      </c>
      <c r="O588" t="s">
        <v>26</v>
      </c>
      <c r="P588" t="s">
        <v>26</v>
      </c>
      <c r="Q588" t="s">
        <v>26</v>
      </c>
      <c r="R588" t="s">
        <v>3844</v>
      </c>
      <c r="S588" t="s">
        <v>4652</v>
      </c>
    </row>
    <row r="589" spans="1:19" x14ac:dyDescent="0.2">
      <c r="A589" t="s">
        <v>4653</v>
      </c>
      <c r="B589" t="s">
        <v>4653</v>
      </c>
      <c r="C589" t="s">
        <v>4654</v>
      </c>
      <c r="D589" t="s">
        <v>22</v>
      </c>
      <c r="E589" t="b">
        <v>0</v>
      </c>
      <c r="F589" t="s">
        <v>23</v>
      </c>
      <c r="G589" t="s">
        <v>4655</v>
      </c>
      <c r="H589" t="s">
        <v>188</v>
      </c>
      <c r="I589" s="2" t="d">
        <v>2022-01-01</v>
      </c>
      <c r="J589" t="s">
        <v>27</v>
      </c>
      <c r="K589" t="s">
        <v>4656</v>
      </c>
      <c r="L589" t="s">
        <v>4657</v>
      </c>
      <c r="M589" t="s">
        <v>4658</v>
      </c>
      <c r="N589" t="s">
        <v>4659</v>
      </c>
      <c r="O589" t="s">
        <v>26</v>
      </c>
      <c r="P589" t="s">
        <v>26</v>
      </c>
      <c r="Q589" t="s">
        <v>40</v>
      </c>
      <c r="R589" t="s">
        <v>41</v>
      </c>
      <c r="S589" t="s">
        <v>4660</v>
      </c>
    </row>
    <row r="590" spans="1:19" x14ac:dyDescent="0.2">
      <c r="A590" t="s">
        <v>4661</v>
      </c>
      <c r="B590" t="s">
        <v>4662</v>
      </c>
      <c r="C590" t="s">
        <v>4663</v>
      </c>
      <c r="D590" t="s">
        <v>22</v>
      </c>
      <c r="E590" t="b">
        <v>0</v>
      </c>
      <c r="F590" t="s">
        <v>23</v>
      </c>
      <c r="G590" t="s">
        <v>4664</v>
      </c>
      <c r="H590" t="s">
        <v>67</v>
      </c>
      <c r="I590" t="s">
        <v>26</v>
      </c>
      <c r="J590" t="s">
        <v>27</v>
      </c>
      <c r="K590" t="s">
        <v>4665</v>
      </c>
      <c r="L590" t="s">
        <v>4666</v>
      </c>
      <c r="M590" t="s">
        <v>26</v>
      </c>
      <c r="N590" t="s">
        <v>26</v>
      </c>
      <c r="O590" t="s">
        <v>4667</v>
      </c>
      <c r="P590" t="s">
        <v>26</v>
      </c>
      <c r="Q590" s="3" t="d">
        <v>2026-01-10</v>
      </c>
      <c r="R590" t="s">
        <v>412</v>
      </c>
      <c r="S590" t="s">
        <v>4668</v>
      </c>
    </row>
    <row r="591" spans="1:19" x14ac:dyDescent="0.2">
      <c r="A591" t="s">
        <v>4669</v>
      </c>
      <c r="B591" t="s">
        <v>4669</v>
      </c>
      <c r="C591" t="s">
        <v>4670</v>
      </c>
      <c r="D591" t="s">
        <v>22</v>
      </c>
      <c r="E591" t="b">
        <v>0</v>
      </c>
      <c r="F591" t="s">
        <v>23</v>
      </c>
      <c r="G591" t="s">
        <v>4671</v>
      </c>
      <c r="H591" t="s">
        <v>26</v>
      </c>
      <c r="I591" t="s">
        <v>26</v>
      </c>
      <c r="J591" t="s">
        <v>27</v>
      </c>
      <c r="K591" t="s">
        <v>4672</v>
      </c>
      <c r="L591" t="s">
        <v>26</v>
      </c>
      <c r="M591" t="s">
        <v>26</v>
      </c>
      <c r="N591" t="s">
        <v>4673</v>
      </c>
      <c r="O591" t="s">
        <v>26</v>
      </c>
      <c r="P591" t="s">
        <v>26</v>
      </c>
      <c r="Q591" t="s">
        <v>26</v>
      </c>
      <c r="R591" t="s">
        <v>4674</v>
      </c>
      <c r="S591" t="s">
        <v>4675</v>
      </c>
    </row>
    <row r="592" spans="1:19" x14ac:dyDescent="0.2">
      <c r="A592" t="s">
        <v>4676</v>
      </c>
      <c r="B592" t="s">
        <v>4677</v>
      </c>
      <c r="C592" t="s">
        <v>4678</v>
      </c>
      <c r="D592" t="s">
        <v>22</v>
      </c>
      <c r="E592" t="b">
        <v>0</v>
      </c>
      <c r="F592" t="s">
        <v>23</v>
      </c>
      <c r="G592" t="s">
        <v>4679</v>
      </c>
      <c r="H592" t="s">
        <v>67</v>
      </c>
      <c r="I592" s="2" t="d">
        <v>2019-02-01</v>
      </c>
      <c r="J592" t="s">
        <v>27</v>
      </c>
      <c r="K592" t="s">
        <v>4680</v>
      </c>
      <c r="L592" t="s">
        <v>4681</v>
      </c>
      <c r="M592" t="s">
        <v>4682</v>
      </c>
      <c r="N592" t="s">
        <v>4683</v>
      </c>
      <c r="O592" t="s">
        <v>4684</v>
      </c>
      <c r="P592" t="s">
        <v>4685</v>
      </c>
      <c r="Q592" s="1" t="d">
        <v>1950-11-01</v>
      </c>
      <c r="R592" t="s">
        <v>3690</v>
      </c>
      <c r="S592" t="s">
        <v>4686</v>
      </c>
    </row>
    <row r="593" spans="1:19" x14ac:dyDescent="0.2">
      <c r="A593" t="s">
        <v>4687</v>
      </c>
      <c r="B593" t="s">
        <v>4688</v>
      </c>
      <c r="C593" t="s">
        <v>4689</v>
      </c>
      <c r="D593" t="s">
        <v>22</v>
      </c>
      <c r="E593" t="b">
        <v>0</v>
      </c>
      <c r="F593" t="s">
        <v>23</v>
      </c>
      <c r="G593" t="s">
        <v>4690</v>
      </c>
      <c r="H593" t="s">
        <v>4691</v>
      </c>
      <c r="I593" t="s">
        <v>26</v>
      </c>
      <c r="J593" t="s">
        <v>27</v>
      </c>
      <c r="K593" t="s">
        <v>4692</v>
      </c>
      <c r="L593" t="s">
        <v>4688</v>
      </c>
      <c r="M593" t="s">
        <v>26</v>
      </c>
      <c r="N593" t="s">
        <v>4693</v>
      </c>
      <c r="O593" t="s">
        <v>4694</v>
      </c>
      <c r="P593" t="s">
        <v>4695</v>
      </c>
      <c r="Q593" t="s">
        <v>54</v>
      </c>
      <c r="R593" t="s">
        <v>4696</v>
      </c>
      <c r="S593" t="s">
        <v>4697</v>
      </c>
    </row>
    <row r="594" spans="1:19" x14ac:dyDescent="0.2">
      <c r="A594" t="s">
        <v>4698</v>
      </c>
      <c r="B594" t="s">
        <v>4698</v>
      </c>
      <c r="C594" t="s">
        <v>4699</v>
      </c>
      <c r="D594" t="s">
        <v>22</v>
      </c>
      <c r="E594" t="b">
        <v>0</v>
      </c>
      <c r="F594" t="s">
        <v>23</v>
      </c>
      <c r="G594" t="s">
        <v>4700</v>
      </c>
      <c r="H594" t="s">
        <v>4701</v>
      </c>
      <c r="I594" s="2" t="d">
        <v>2021-01-01</v>
      </c>
      <c r="J594" t="s">
        <v>27</v>
      </c>
      <c r="K594" t="s">
        <v>4702</v>
      </c>
      <c r="L594" t="s">
        <v>4703</v>
      </c>
      <c r="M594" t="s">
        <v>4704</v>
      </c>
      <c r="N594" t="s">
        <v>4705</v>
      </c>
      <c r="O594" t="s">
        <v>26</v>
      </c>
      <c r="P594" t="s">
        <v>26</v>
      </c>
      <c r="Q594" s="1" t="d">
        <v>1950-11-01</v>
      </c>
      <c r="R594" t="s">
        <v>41</v>
      </c>
      <c r="S594" t="s">
        <v>4706</v>
      </c>
    </row>
    <row r="595" spans="1:19" x14ac:dyDescent="0.2">
      <c r="A595" t="s">
        <v>4707</v>
      </c>
      <c r="B595" t="s">
        <v>26</v>
      </c>
      <c r="C595" t="s">
        <v>4708</v>
      </c>
      <c r="D595" t="s">
        <v>26</v>
      </c>
      <c r="E595" t="s">
        <v>26</v>
      </c>
      <c r="F595" t="s">
        <v>26</v>
      </c>
      <c r="G595" t="s">
        <v>4709</v>
      </c>
      <c r="H595" t="s">
        <v>26</v>
      </c>
      <c r="I595" t="s">
        <v>26</v>
      </c>
      <c r="J595" t="s">
        <v>26</v>
      </c>
      <c r="K595" t="s">
        <v>4710</v>
      </c>
      <c r="L595" t="s">
        <v>4711</v>
      </c>
      <c r="M595" t="s">
        <v>26</v>
      </c>
      <c r="N595" t="s">
        <v>26</v>
      </c>
      <c r="O595" t="s">
        <v>26</v>
      </c>
      <c r="P595" t="s">
        <v>26</v>
      </c>
      <c r="Q595" t="s">
        <v>26</v>
      </c>
      <c r="R595" t="s">
        <v>4712</v>
      </c>
      <c r="S595" t="s">
        <v>4713</v>
      </c>
    </row>
    <row r="596" spans="1:19" x14ac:dyDescent="0.2">
      <c r="A596" t="s">
        <v>4714</v>
      </c>
      <c r="B596" t="s">
        <v>4714</v>
      </c>
      <c r="C596" t="s">
        <v>4715</v>
      </c>
      <c r="D596" t="s">
        <v>22</v>
      </c>
      <c r="E596" t="b">
        <v>0</v>
      </c>
      <c r="F596" t="s">
        <v>23</v>
      </c>
      <c r="G596" t="s">
        <v>4716</v>
      </c>
      <c r="H596" t="s">
        <v>4717</v>
      </c>
      <c r="I596" t="s">
        <v>26</v>
      </c>
      <c r="J596" t="s">
        <v>27</v>
      </c>
      <c r="K596" t="s">
        <v>4718</v>
      </c>
      <c r="L596" t="s">
        <v>4714</v>
      </c>
      <c r="M596" t="s">
        <v>26</v>
      </c>
      <c r="N596" t="s">
        <v>26</v>
      </c>
      <c r="O596" t="s">
        <v>4719</v>
      </c>
      <c r="P596" t="s">
        <v>26</v>
      </c>
      <c r="Q596" t="s">
        <v>40</v>
      </c>
      <c r="R596" t="s">
        <v>580</v>
      </c>
      <c r="S596" t="s">
        <v>4720</v>
      </c>
    </row>
    <row r="597" spans="1:19" x14ac:dyDescent="0.2">
      <c r="A597" t="s">
        <v>4721</v>
      </c>
      <c r="B597" t="s">
        <v>4722</v>
      </c>
      <c r="C597" t="s">
        <v>4723</v>
      </c>
      <c r="D597" t="s">
        <v>22</v>
      </c>
      <c r="E597" t="b">
        <v>0</v>
      </c>
      <c r="F597" t="s">
        <v>23</v>
      </c>
      <c r="G597" t="s">
        <v>4724</v>
      </c>
      <c r="H597" t="s">
        <v>4332</v>
      </c>
      <c r="I597" t="s">
        <v>26</v>
      </c>
      <c r="J597" t="s">
        <v>27</v>
      </c>
      <c r="K597" t="s">
        <v>4725</v>
      </c>
      <c r="L597" t="s">
        <v>4726</v>
      </c>
      <c r="M597" t="s">
        <v>4727</v>
      </c>
      <c r="N597" t="s">
        <v>26</v>
      </c>
      <c r="O597" t="s">
        <v>26</v>
      </c>
      <c r="P597" t="s">
        <v>26</v>
      </c>
      <c r="Q597" s="1" t="d">
        <v>1950-11-01</v>
      </c>
      <c r="R597" t="s">
        <v>41</v>
      </c>
      <c r="S597" t="s">
        <v>4728</v>
      </c>
    </row>
    <row r="598" spans="1:19" x14ac:dyDescent="0.2">
      <c r="A598" t="s">
        <v>4729</v>
      </c>
      <c r="B598" t="s">
        <v>4729</v>
      </c>
      <c r="C598" t="s">
        <v>4730</v>
      </c>
      <c r="D598" t="s">
        <v>22</v>
      </c>
      <c r="E598" t="b">
        <v>0</v>
      </c>
      <c r="F598" t="s">
        <v>23</v>
      </c>
      <c r="G598" t="s">
        <v>4731</v>
      </c>
      <c r="H598" t="s">
        <v>634</v>
      </c>
      <c r="I598" s="2" t="d">
        <v>2017-01-01</v>
      </c>
      <c r="J598" t="s">
        <v>27</v>
      </c>
      <c r="K598" t="s">
        <v>4732</v>
      </c>
      <c r="L598" t="s">
        <v>4733</v>
      </c>
      <c r="M598" t="s">
        <v>4734</v>
      </c>
      <c r="N598" t="s">
        <v>4735</v>
      </c>
      <c r="O598" t="s">
        <v>4736</v>
      </c>
      <c r="P598" t="s">
        <v>4737</v>
      </c>
      <c r="Q598" t="s">
        <v>40</v>
      </c>
      <c r="R598" t="s">
        <v>41</v>
      </c>
      <c r="S598" t="s">
        <v>4738</v>
      </c>
    </row>
    <row r="599" spans="1:19" x14ac:dyDescent="0.2">
      <c r="A599" t="s">
        <v>4739</v>
      </c>
      <c r="B599" t="s">
        <v>4740</v>
      </c>
      <c r="C599" t="s">
        <v>4741</v>
      </c>
      <c r="D599" t="s">
        <v>22</v>
      </c>
      <c r="E599" t="b">
        <v>0</v>
      </c>
      <c r="F599" t="s">
        <v>23</v>
      </c>
      <c r="G599" t="s">
        <v>4742</v>
      </c>
      <c r="H599" t="s">
        <v>58</v>
      </c>
      <c r="I599" t="s">
        <v>26</v>
      </c>
      <c r="J599" t="s">
        <v>27</v>
      </c>
      <c r="K599" t="s">
        <v>1653</v>
      </c>
      <c r="L599" t="s">
        <v>1654</v>
      </c>
      <c r="M599" t="s">
        <v>26</v>
      </c>
      <c r="N599" t="s">
        <v>26</v>
      </c>
      <c r="O599" t="s">
        <v>4743</v>
      </c>
      <c r="P599" t="s">
        <v>4744</v>
      </c>
      <c r="Q599" s="1" t="d">
        <v>1950-11-01</v>
      </c>
      <c r="R599" t="s">
        <v>1263</v>
      </c>
      <c r="S599" t="s">
        <v>4745</v>
      </c>
    </row>
    <row r="600" spans="1:19" x14ac:dyDescent="0.2">
      <c r="A600" t="s">
        <v>4746</v>
      </c>
      <c r="B600" t="s">
        <v>4746</v>
      </c>
      <c r="C600" t="s">
        <v>4747</v>
      </c>
      <c r="D600" t="s">
        <v>22</v>
      </c>
      <c r="E600" t="b">
        <v>0</v>
      </c>
      <c r="F600" t="s">
        <v>23</v>
      </c>
      <c r="G600" t="s">
        <v>4748</v>
      </c>
      <c r="H600" t="s">
        <v>4749</v>
      </c>
      <c r="I600" t="s">
        <v>26</v>
      </c>
      <c r="J600" t="s">
        <v>27</v>
      </c>
      <c r="K600" t="s">
        <v>4750</v>
      </c>
      <c r="L600" t="s">
        <v>4746</v>
      </c>
      <c r="M600" t="s">
        <v>4751</v>
      </c>
      <c r="N600" t="s">
        <v>26</v>
      </c>
      <c r="O600" t="s">
        <v>26</v>
      </c>
      <c r="P600" t="s">
        <v>26</v>
      </c>
      <c r="Q600" s="3" t="d">
        <v>2026-01-10</v>
      </c>
      <c r="R600" t="s">
        <v>3134</v>
      </c>
      <c r="S600" t="s">
        <v>4752</v>
      </c>
    </row>
    <row r="601" spans="1:19" x14ac:dyDescent="0.2">
      <c r="A601" t="s">
        <v>4753</v>
      </c>
      <c r="B601" t="s">
        <v>26</v>
      </c>
      <c r="C601" t="s">
        <v>4754</v>
      </c>
      <c r="D601" t="s">
        <v>26</v>
      </c>
      <c r="E601" t="s">
        <v>26</v>
      </c>
      <c r="F601" t="s">
        <v>26</v>
      </c>
      <c r="G601" t="s">
        <v>4755</v>
      </c>
      <c r="H601" t="s">
        <v>26</v>
      </c>
      <c r="I601" t="s">
        <v>26</v>
      </c>
      <c r="J601" t="s">
        <v>26</v>
      </c>
      <c r="K601" t="s">
        <v>4756</v>
      </c>
      <c r="L601" t="s">
        <v>26</v>
      </c>
      <c r="M601" t="s">
        <v>26</v>
      </c>
      <c r="N601" t="s">
        <v>26</v>
      </c>
      <c r="O601" t="s">
        <v>26</v>
      </c>
      <c r="P601" t="s">
        <v>26</v>
      </c>
      <c r="Q601" t="s">
        <v>26</v>
      </c>
      <c r="R601" t="s">
        <v>4757</v>
      </c>
      <c r="S601" t="s">
        <v>4758</v>
      </c>
    </row>
    <row r="602" spans="1:19" x14ac:dyDescent="0.2">
      <c r="A602" t="s">
        <v>4759</v>
      </c>
      <c r="B602" t="s">
        <v>4759</v>
      </c>
      <c r="C602" t="s">
        <v>4759</v>
      </c>
      <c r="D602" t="s">
        <v>22</v>
      </c>
      <c r="E602" t="b">
        <v>0</v>
      </c>
      <c r="F602" t="s">
        <v>23</v>
      </c>
      <c r="G602" t="s">
        <v>4760</v>
      </c>
      <c r="H602" t="s">
        <v>773</v>
      </c>
      <c r="I602" t="s">
        <v>26</v>
      </c>
      <c r="J602" t="s">
        <v>27</v>
      </c>
      <c r="K602" t="s">
        <v>4761</v>
      </c>
      <c r="L602" t="s">
        <v>4762</v>
      </c>
      <c r="M602" t="s">
        <v>4763</v>
      </c>
      <c r="N602" t="s">
        <v>26</v>
      </c>
      <c r="O602" t="s">
        <v>4764</v>
      </c>
      <c r="P602" t="s">
        <v>26</v>
      </c>
      <c r="Q602" s="3" t="d">
        <v>2026-01-10</v>
      </c>
      <c r="R602" t="s">
        <v>4765</v>
      </c>
      <c r="S602" t="s">
        <v>4766</v>
      </c>
    </row>
    <row r="603" spans="1:19" x14ac:dyDescent="0.2">
      <c r="A603" t="s">
        <v>4767</v>
      </c>
      <c r="B603" t="s">
        <v>4768</v>
      </c>
      <c r="C603" t="s">
        <v>4769</v>
      </c>
      <c r="D603" t="s">
        <v>22</v>
      </c>
      <c r="E603" t="b">
        <v>0</v>
      </c>
      <c r="F603" t="s">
        <v>23</v>
      </c>
      <c r="G603" t="s">
        <v>4770</v>
      </c>
      <c r="H603" t="s">
        <v>1923</v>
      </c>
      <c r="I603" t="s">
        <v>26</v>
      </c>
      <c r="J603" t="s">
        <v>27</v>
      </c>
      <c r="K603" t="s">
        <v>4771</v>
      </c>
      <c r="L603" t="s">
        <v>4772</v>
      </c>
      <c r="M603" t="s">
        <v>4773</v>
      </c>
      <c r="N603" t="s">
        <v>26</v>
      </c>
      <c r="O603" t="s">
        <v>4774</v>
      </c>
      <c r="P603" t="s">
        <v>26</v>
      </c>
      <c r="Q603" t="s">
        <v>40</v>
      </c>
      <c r="R603" t="s">
        <v>2758</v>
      </c>
      <c r="S603" t="s">
        <v>4775</v>
      </c>
    </row>
    <row r="604" spans="1:19" x14ac:dyDescent="0.2">
      <c r="A604" t="s">
        <v>4776</v>
      </c>
      <c r="B604" t="s">
        <v>4777</v>
      </c>
      <c r="C604" t="s">
        <v>4778</v>
      </c>
      <c r="D604" t="s">
        <v>22</v>
      </c>
      <c r="E604" t="b">
        <v>0</v>
      </c>
      <c r="F604" t="s">
        <v>23</v>
      </c>
      <c r="G604" t="s">
        <v>4779</v>
      </c>
      <c r="H604" t="s">
        <v>146</v>
      </c>
      <c r="I604" t="s">
        <v>26</v>
      </c>
      <c r="J604" t="s">
        <v>27</v>
      </c>
      <c r="K604" t="s">
        <v>4780</v>
      </c>
      <c r="L604" t="s">
        <v>4776</v>
      </c>
      <c r="M604" t="s">
        <v>4781</v>
      </c>
      <c r="N604" t="s">
        <v>4782</v>
      </c>
      <c r="O604" t="s">
        <v>4783</v>
      </c>
      <c r="P604" t="s">
        <v>26</v>
      </c>
      <c r="Q604" s="3" t="d">
        <v>2026-01-10</v>
      </c>
      <c r="R604" t="s">
        <v>4784</v>
      </c>
      <c r="S604" t="s">
        <v>4785</v>
      </c>
    </row>
    <row r="605" spans="1:19" x14ac:dyDescent="0.2">
      <c r="A605" t="s">
        <v>4786</v>
      </c>
      <c r="B605" t="s">
        <v>4787</v>
      </c>
      <c r="C605" t="s">
        <v>4788</v>
      </c>
      <c r="D605" t="s">
        <v>22</v>
      </c>
      <c r="E605" t="b">
        <v>0</v>
      </c>
      <c r="F605" t="s">
        <v>23</v>
      </c>
      <c r="G605" t="s">
        <v>4789</v>
      </c>
      <c r="H605" t="s">
        <v>188</v>
      </c>
      <c r="I605" s="2" t="d">
        <v>2022-01-01</v>
      </c>
      <c r="J605" t="s">
        <v>27</v>
      </c>
      <c r="K605" t="s">
        <v>4790</v>
      </c>
      <c r="L605" t="s">
        <v>4791</v>
      </c>
      <c r="M605" t="s">
        <v>26</v>
      </c>
      <c r="N605" t="s">
        <v>4792</v>
      </c>
      <c r="O605" t="s">
        <v>4793</v>
      </c>
      <c r="P605" t="s">
        <v>26</v>
      </c>
      <c r="Q605" s="1" t="d">
        <v>1950-11-01</v>
      </c>
      <c r="R605" t="s">
        <v>41</v>
      </c>
      <c r="S605" t="s">
        <v>4794</v>
      </c>
    </row>
    <row r="606" spans="1:19" x14ac:dyDescent="0.2">
      <c r="A606" t="s">
        <v>4795</v>
      </c>
      <c r="B606" t="s">
        <v>26</v>
      </c>
      <c r="C606" t="s">
        <v>4796</v>
      </c>
      <c r="D606" t="s">
        <v>26</v>
      </c>
      <c r="E606" t="s">
        <v>26</v>
      </c>
      <c r="F606" t="s">
        <v>26</v>
      </c>
      <c r="G606" t="s">
        <v>4797</v>
      </c>
      <c r="H606" t="s">
        <v>26</v>
      </c>
      <c r="I606" t="s">
        <v>26</v>
      </c>
      <c r="J606" t="s">
        <v>26</v>
      </c>
      <c r="K606" t="s">
        <v>4798</v>
      </c>
      <c r="L606" t="s">
        <v>4799</v>
      </c>
      <c r="M606" t="s">
        <v>26</v>
      </c>
      <c r="N606" t="s">
        <v>26</v>
      </c>
      <c r="O606" t="s">
        <v>26</v>
      </c>
      <c r="P606" t="s">
        <v>26</v>
      </c>
      <c r="Q606" t="s">
        <v>26</v>
      </c>
      <c r="R606" t="s">
        <v>4800</v>
      </c>
      <c r="S606" t="s">
        <v>4801</v>
      </c>
    </row>
    <row r="607" spans="1:19" x14ac:dyDescent="0.2">
      <c r="A607" t="s">
        <v>4802</v>
      </c>
      <c r="B607" t="s">
        <v>4803</v>
      </c>
      <c r="C607" t="s">
        <v>4804</v>
      </c>
      <c r="D607" t="s">
        <v>22</v>
      </c>
      <c r="E607" t="b">
        <v>0</v>
      </c>
      <c r="F607" t="s">
        <v>23</v>
      </c>
      <c r="G607" t="s">
        <v>4805</v>
      </c>
      <c r="H607" t="s">
        <v>986</v>
      </c>
      <c r="I607" s="2" t="d">
        <v>2022-01-01</v>
      </c>
      <c r="J607" t="s">
        <v>27</v>
      </c>
      <c r="K607" t="s">
        <v>4806</v>
      </c>
      <c r="L607" t="s">
        <v>4807</v>
      </c>
      <c r="M607" t="s">
        <v>4808</v>
      </c>
      <c r="N607" t="s">
        <v>26</v>
      </c>
      <c r="O607" t="s">
        <v>26</v>
      </c>
      <c r="P607" t="s">
        <v>26</v>
      </c>
      <c r="Q607" s="1" t="d">
        <v>1950-11-01</v>
      </c>
      <c r="R607" t="s">
        <v>41</v>
      </c>
      <c r="S607" t="s">
        <v>4809</v>
      </c>
    </row>
    <row r="608" spans="1:19" x14ac:dyDescent="0.2">
      <c r="A608" t="s">
        <v>4810</v>
      </c>
      <c r="B608" t="s">
        <v>26</v>
      </c>
      <c r="C608" t="s">
        <v>4811</v>
      </c>
      <c r="D608" t="s">
        <v>26</v>
      </c>
      <c r="E608" t="s">
        <v>26</v>
      </c>
      <c r="F608" t="s">
        <v>26</v>
      </c>
      <c r="G608" t="s">
        <v>4812</v>
      </c>
      <c r="H608" t="s">
        <v>26</v>
      </c>
      <c r="I608" t="s">
        <v>26</v>
      </c>
      <c r="J608" t="s">
        <v>26</v>
      </c>
      <c r="K608" t="s">
        <v>26</v>
      </c>
      <c r="L608" t="s">
        <v>26</v>
      </c>
      <c r="M608" t="s">
        <v>26</v>
      </c>
      <c r="N608" t="s">
        <v>26</v>
      </c>
      <c r="O608" t="s">
        <v>26</v>
      </c>
      <c r="P608" t="s">
        <v>26</v>
      </c>
      <c r="Q608" t="s">
        <v>26</v>
      </c>
      <c r="R608" t="s">
        <v>4813</v>
      </c>
      <c r="S608" t="s">
        <v>4814</v>
      </c>
    </row>
    <row r="609" spans="1:19" x14ac:dyDescent="0.2">
      <c r="A609" t="s">
        <v>4815</v>
      </c>
      <c r="B609" t="s">
        <v>4815</v>
      </c>
      <c r="C609" t="s">
        <v>4816</v>
      </c>
      <c r="D609" t="s">
        <v>22</v>
      </c>
      <c r="E609" t="b">
        <v>0</v>
      </c>
      <c r="F609" t="s">
        <v>23</v>
      </c>
      <c r="G609" t="s">
        <v>4817</v>
      </c>
      <c r="H609" t="s">
        <v>4818</v>
      </c>
      <c r="I609" s="2" t="d">
        <v>2020-01-01</v>
      </c>
      <c r="J609" t="s">
        <v>27</v>
      </c>
      <c r="K609" t="s">
        <v>4819</v>
      </c>
      <c r="L609" t="s">
        <v>4815</v>
      </c>
      <c r="M609" t="s">
        <v>4820</v>
      </c>
      <c r="N609" t="s">
        <v>26</v>
      </c>
      <c r="O609" t="s">
        <v>26</v>
      </c>
      <c r="P609" t="s">
        <v>26</v>
      </c>
      <c r="Q609" s="1" t="d">
        <v>1950-11-01</v>
      </c>
      <c r="R609" t="s">
        <v>41</v>
      </c>
      <c r="S609" t="s">
        <v>4821</v>
      </c>
    </row>
    <row r="610" spans="1:19" x14ac:dyDescent="0.2">
      <c r="A610" t="s">
        <v>4822</v>
      </c>
      <c r="B610" t="s">
        <v>26</v>
      </c>
      <c r="C610" t="s">
        <v>4823</v>
      </c>
      <c r="D610" t="s">
        <v>26</v>
      </c>
      <c r="E610" t="s">
        <v>26</v>
      </c>
      <c r="F610" t="s">
        <v>26</v>
      </c>
      <c r="G610" t="s">
        <v>4824</v>
      </c>
      <c r="H610" t="s">
        <v>26</v>
      </c>
      <c r="I610" t="s">
        <v>26</v>
      </c>
      <c r="J610" t="s">
        <v>26</v>
      </c>
      <c r="K610" t="s">
        <v>4825</v>
      </c>
      <c r="L610" t="s">
        <v>4826</v>
      </c>
      <c r="M610" t="s">
        <v>4827</v>
      </c>
      <c r="N610" t="s">
        <v>26</v>
      </c>
      <c r="O610" t="s">
        <v>26</v>
      </c>
      <c r="P610" t="s">
        <v>26</v>
      </c>
      <c r="Q610" t="s">
        <v>26</v>
      </c>
      <c r="R610" t="s">
        <v>4828</v>
      </c>
      <c r="S610" t="s">
        <v>4829</v>
      </c>
    </row>
    <row r="611" spans="1:19" x14ac:dyDescent="0.2">
      <c r="A611" t="s">
        <v>4830</v>
      </c>
      <c r="B611" t="s">
        <v>4831</v>
      </c>
      <c r="C611" t="s">
        <v>4832</v>
      </c>
      <c r="D611" t="s">
        <v>22</v>
      </c>
      <c r="E611" t="b">
        <v>0</v>
      </c>
      <c r="F611" t="s">
        <v>23</v>
      </c>
      <c r="G611" t="s">
        <v>4833</v>
      </c>
      <c r="H611" t="s">
        <v>4834</v>
      </c>
      <c r="I611" t="s">
        <v>26</v>
      </c>
      <c r="J611" t="s">
        <v>27</v>
      </c>
      <c r="K611" t="s">
        <v>4835</v>
      </c>
      <c r="L611" t="s">
        <v>4836</v>
      </c>
      <c r="M611" t="s">
        <v>4837</v>
      </c>
      <c r="N611" t="s">
        <v>4838</v>
      </c>
      <c r="O611" t="s">
        <v>4839</v>
      </c>
      <c r="P611" t="s">
        <v>26</v>
      </c>
      <c r="Q611" s="1" t="d">
        <v>1950-11-01</v>
      </c>
      <c r="R611" t="s">
        <v>4712</v>
      </c>
      <c r="S611" t="s">
        <v>4840</v>
      </c>
    </row>
    <row r="612" spans="1:19" x14ac:dyDescent="0.2">
      <c r="A612" t="s">
        <v>4841</v>
      </c>
      <c r="B612" t="s">
        <v>4842</v>
      </c>
      <c r="C612" t="s">
        <v>4843</v>
      </c>
      <c r="D612" t="s">
        <v>22</v>
      </c>
      <c r="E612" t="b">
        <v>0</v>
      </c>
      <c r="F612" t="s">
        <v>23</v>
      </c>
      <c r="G612" t="s">
        <v>4844</v>
      </c>
      <c r="H612" t="s">
        <v>877</v>
      </c>
      <c r="I612" t="s">
        <v>26</v>
      </c>
      <c r="J612" t="s">
        <v>27</v>
      </c>
      <c r="K612" t="s">
        <v>4845</v>
      </c>
      <c r="L612" t="s">
        <v>4846</v>
      </c>
      <c r="M612" t="s">
        <v>4847</v>
      </c>
      <c r="N612" t="s">
        <v>4848</v>
      </c>
      <c r="O612" t="s">
        <v>26</v>
      </c>
      <c r="P612" t="s">
        <v>26</v>
      </c>
      <c r="Q612" s="1" t="d">
        <v>1950-11-01</v>
      </c>
      <c r="R612" t="s">
        <v>588</v>
      </c>
      <c r="S612" t="s">
        <v>4849</v>
      </c>
    </row>
    <row r="613" spans="1:19" x14ac:dyDescent="0.2">
      <c r="A613" t="s">
        <v>4850</v>
      </c>
      <c r="B613" t="s">
        <v>4850</v>
      </c>
      <c r="C613" t="s">
        <v>4851</v>
      </c>
      <c r="D613" t="s">
        <v>22</v>
      </c>
      <c r="E613" t="b">
        <v>0</v>
      </c>
      <c r="F613" t="s">
        <v>23</v>
      </c>
      <c r="G613" t="s">
        <v>4852</v>
      </c>
      <c r="H613" t="s">
        <v>1064</v>
      </c>
      <c r="I613" t="s">
        <v>26</v>
      </c>
      <c r="J613" t="s">
        <v>4853</v>
      </c>
      <c r="K613" t="s">
        <v>4854</v>
      </c>
      <c r="L613" t="s">
        <v>4855</v>
      </c>
      <c r="M613" t="s">
        <v>4856</v>
      </c>
      <c r="N613" t="s">
        <v>4857</v>
      </c>
      <c r="O613" t="s">
        <v>4858</v>
      </c>
      <c r="P613" t="s">
        <v>26</v>
      </c>
      <c r="Q613" t="s">
        <v>40</v>
      </c>
      <c r="R613" t="s">
        <v>1252</v>
      </c>
      <c r="S613" t="s">
        <v>4859</v>
      </c>
    </row>
    <row r="614" spans="1:19" x14ac:dyDescent="0.2">
      <c r="A614" t="s">
        <v>4860</v>
      </c>
      <c r="B614" t="s">
        <v>26</v>
      </c>
      <c r="C614" t="s">
        <v>4861</v>
      </c>
      <c r="D614" t="s">
        <v>26</v>
      </c>
      <c r="E614" t="s">
        <v>26</v>
      </c>
      <c r="F614" t="s">
        <v>26</v>
      </c>
      <c r="G614" t="s">
        <v>4862</v>
      </c>
      <c r="H614" t="s">
        <v>26</v>
      </c>
      <c r="I614" t="s">
        <v>26</v>
      </c>
      <c r="J614" t="s">
        <v>26</v>
      </c>
      <c r="K614" t="s">
        <v>4863</v>
      </c>
      <c r="L614" t="s">
        <v>4864</v>
      </c>
      <c r="M614" t="s">
        <v>26</v>
      </c>
      <c r="N614" t="s">
        <v>26</v>
      </c>
      <c r="O614" t="s">
        <v>26</v>
      </c>
      <c r="P614" t="s">
        <v>26</v>
      </c>
      <c r="Q614" t="s">
        <v>26</v>
      </c>
      <c r="R614" t="s">
        <v>1263</v>
      </c>
      <c r="S614" t="s">
        <v>4865</v>
      </c>
    </row>
    <row r="615" spans="1:19" x14ac:dyDescent="0.2">
      <c r="A615" t="s">
        <v>4866</v>
      </c>
      <c r="B615" t="s">
        <v>26</v>
      </c>
      <c r="C615" t="s">
        <v>4867</v>
      </c>
      <c r="D615" t="s">
        <v>26</v>
      </c>
      <c r="E615" t="s">
        <v>26</v>
      </c>
      <c r="F615" t="s">
        <v>26</v>
      </c>
      <c r="G615" t="s">
        <v>4868</v>
      </c>
      <c r="H615" t="s">
        <v>26</v>
      </c>
      <c r="I615" t="s">
        <v>26</v>
      </c>
      <c r="J615" t="s">
        <v>26</v>
      </c>
      <c r="K615" t="s">
        <v>2462</v>
      </c>
      <c r="L615" t="s">
        <v>2458</v>
      </c>
      <c r="M615" t="s">
        <v>4869</v>
      </c>
      <c r="N615" t="s">
        <v>26</v>
      </c>
      <c r="O615" t="s">
        <v>26</v>
      </c>
      <c r="P615" t="s">
        <v>26</v>
      </c>
      <c r="Q615" t="s">
        <v>26</v>
      </c>
      <c r="R615" t="s">
        <v>4870</v>
      </c>
      <c r="S615" t="s">
        <v>4871</v>
      </c>
    </row>
    <row r="616" spans="1:19" x14ac:dyDescent="0.2">
      <c r="A616" t="s">
        <v>4872</v>
      </c>
      <c r="B616" t="s">
        <v>26</v>
      </c>
      <c r="C616" t="s">
        <v>4873</v>
      </c>
      <c r="D616" t="s">
        <v>26</v>
      </c>
      <c r="E616" t="s">
        <v>26</v>
      </c>
      <c r="F616" t="s">
        <v>26</v>
      </c>
      <c r="G616" t="s">
        <v>4874</v>
      </c>
      <c r="H616" t="s">
        <v>26</v>
      </c>
      <c r="I616" t="s">
        <v>26</v>
      </c>
      <c r="J616" t="s">
        <v>26</v>
      </c>
      <c r="K616" t="s">
        <v>4875</v>
      </c>
      <c r="L616" t="s">
        <v>4876</v>
      </c>
      <c r="M616" t="s">
        <v>26</v>
      </c>
      <c r="N616" t="s">
        <v>26</v>
      </c>
      <c r="O616" t="s">
        <v>26</v>
      </c>
      <c r="P616" t="s">
        <v>26</v>
      </c>
      <c r="Q616" t="s">
        <v>26</v>
      </c>
      <c r="R616" t="s">
        <v>4877</v>
      </c>
      <c r="S616" t="s">
        <v>4878</v>
      </c>
    </row>
    <row r="617" spans="1:19" x14ac:dyDescent="0.2">
      <c r="A617" t="s">
        <v>4879</v>
      </c>
      <c r="B617" t="s">
        <v>26</v>
      </c>
      <c r="C617" t="s">
        <v>4880</v>
      </c>
      <c r="D617" t="s">
        <v>26</v>
      </c>
      <c r="E617" t="s">
        <v>26</v>
      </c>
      <c r="F617" t="s">
        <v>26</v>
      </c>
      <c r="G617" t="s">
        <v>4881</v>
      </c>
      <c r="H617" t="s">
        <v>26</v>
      </c>
      <c r="I617" t="s">
        <v>26</v>
      </c>
      <c r="J617" t="s">
        <v>26</v>
      </c>
      <c r="K617" t="s">
        <v>4882</v>
      </c>
      <c r="L617" t="s">
        <v>4879</v>
      </c>
      <c r="M617" t="s">
        <v>4883</v>
      </c>
      <c r="N617" t="s">
        <v>26</v>
      </c>
      <c r="O617" t="s">
        <v>26</v>
      </c>
      <c r="P617" t="s">
        <v>26</v>
      </c>
      <c r="Q617" t="s">
        <v>26</v>
      </c>
      <c r="R617" t="s">
        <v>4877</v>
      </c>
      <c r="S617" t="s">
        <v>4884</v>
      </c>
    </row>
    <row r="618" spans="1:19" x14ac:dyDescent="0.2">
      <c r="A618" t="s">
        <v>4885</v>
      </c>
      <c r="B618" t="s">
        <v>26</v>
      </c>
      <c r="C618" t="s">
        <v>4886</v>
      </c>
      <c r="D618" t="s">
        <v>26</v>
      </c>
      <c r="E618" t="s">
        <v>26</v>
      </c>
      <c r="F618" t="s">
        <v>26</v>
      </c>
      <c r="G618" t="s">
        <v>4887</v>
      </c>
      <c r="H618" t="s">
        <v>26</v>
      </c>
      <c r="I618" t="s">
        <v>26</v>
      </c>
      <c r="J618" t="s">
        <v>26</v>
      </c>
      <c r="K618" t="s">
        <v>4888</v>
      </c>
      <c r="L618" t="s">
        <v>4885</v>
      </c>
      <c r="M618" t="s">
        <v>26</v>
      </c>
      <c r="N618" t="s">
        <v>26</v>
      </c>
      <c r="O618" t="s">
        <v>26</v>
      </c>
      <c r="P618" t="s">
        <v>26</v>
      </c>
      <c r="Q618" t="s">
        <v>26</v>
      </c>
      <c r="R618" t="s">
        <v>580</v>
      </c>
      <c r="S618" t="s">
        <v>4889</v>
      </c>
    </row>
    <row r="619" spans="1:19" x14ac:dyDescent="0.2">
      <c r="A619" t="s">
        <v>4890</v>
      </c>
      <c r="B619" t="s">
        <v>4891</v>
      </c>
      <c r="C619" t="s">
        <v>4892</v>
      </c>
      <c r="D619" t="s">
        <v>22</v>
      </c>
      <c r="E619" t="b">
        <v>0</v>
      </c>
      <c r="F619" t="s">
        <v>23</v>
      </c>
      <c r="G619" t="s">
        <v>4893</v>
      </c>
      <c r="H619" t="s">
        <v>506</v>
      </c>
      <c r="I619" t="s">
        <v>26</v>
      </c>
      <c r="J619" t="s">
        <v>27</v>
      </c>
      <c r="K619" t="s">
        <v>4894</v>
      </c>
      <c r="L619" t="s">
        <v>4895</v>
      </c>
      <c r="M619" t="s">
        <v>4896</v>
      </c>
      <c r="N619" t="s">
        <v>4897</v>
      </c>
      <c r="O619" t="s">
        <v>4898</v>
      </c>
      <c r="P619" t="s">
        <v>4899</v>
      </c>
      <c r="Q619" s="3" t="d">
        <v>2026-01-10</v>
      </c>
      <c r="R619" t="s">
        <v>3980</v>
      </c>
      <c r="S619" t="s">
        <v>4900</v>
      </c>
    </row>
    <row r="620" spans="1:19" x14ac:dyDescent="0.2">
      <c r="A620" t="s">
        <v>4901</v>
      </c>
      <c r="B620" t="s">
        <v>4901</v>
      </c>
      <c r="C620" t="s">
        <v>4902</v>
      </c>
      <c r="D620" t="s">
        <v>22</v>
      </c>
      <c r="E620" t="b">
        <v>0</v>
      </c>
      <c r="F620" t="s">
        <v>23</v>
      </c>
      <c r="G620" t="s">
        <v>4903</v>
      </c>
      <c r="H620" t="s">
        <v>4904</v>
      </c>
      <c r="I620" t="s">
        <v>26</v>
      </c>
      <c r="J620" t="s">
        <v>27</v>
      </c>
      <c r="K620" t="s">
        <v>4905</v>
      </c>
      <c r="L620" t="s">
        <v>4906</v>
      </c>
      <c r="M620" t="s">
        <v>4907</v>
      </c>
      <c r="N620" t="s">
        <v>26</v>
      </c>
      <c r="O620" t="s">
        <v>4908</v>
      </c>
      <c r="P620" t="s">
        <v>26</v>
      </c>
      <c r="Q620" s="3" t="d">
        <v>2026-01-10</v>
      </c>
      <c r="R620" t="s">
        <v>3020</v>
      </c>
      <c r="S620" t="s">
        <v>4909</v>
      </c>
    </row>
    <row r="621" spans="1:19" x14ac:dyDescent="0.2">
      <c r="A621" t="s">
        <v>4910</v>
      </c>
      <c r="B621" t="s">
        <v>26</v>
      </c>
      <c r="C621" t="s">
        <v>4911</v>
      </c>
      <c r="D621" t="s">
        <v>26</v>
      </c>
      <c r="E621" t="s">
        <v>26</v>
      </c>
      <c r="F621" t="s">
        <v>26</v>
      </c>
      <c r="G621" t="s">
        <v>4912</v>
      </c>
      <c r="H621" t="s">
        <v>26</v>
      </c>
      <c r="I621" t="s">
        <v>26</v>
      </c>
      <c r="J621" t="s">
        <v>26</v>
      </c>
      <c r="K621" t="s">
        <v>26</v>
      </c>
      <c r="L621" t="s">
        <v>26</v>
      </c>
      <c r="M621" t="s">
        <v>26</v>
      </c>
      <c r="N621" t="s">
        <v>26</v>
      </c>
      <c r="O621" t="s">
        <v>26</v>
      </c>
      <c r="P621" t="s">
        <v>26</v>
      </c>
      <c r="Q621" t="s">
        <v>26</v>
      </c>
      <c r="R621" t="s">
        <v>3980</v>
      </c>
      <c r="S621" t="s">
        <v>4913</v>
      </c>
    </row>
    <row r="622" spans="1:19" x14ac:dyDescent="0.2">
      <c r="A622" t="s">
        <v>4914</v>
      </c>
      <c r="B622" t="s">
        <v>4915</v>
      </c>
      <c r="C622" t="s">
        <v>4916</v>
      </c>
      <c r="D622" t="s">
        <v>22</v>
      </c>
      <c r="E622" t="b">
        <v>0</v>
      </c>
      <c r="F622" t="s">
        <v>23</v>
      </c>
      <c r="G622" t="s">
        <v>4917</v>
      </c>
      <c r="H622" t="s">
        <v>67</v>
      </c>
      <c r="I622" t="s">
        <v>26</v>
      </c>
      <c r="J622" t="s">
        <v>27</v>
      </c>
      <c r="K622" t="s">
        <v>4918</v>
      </c>
      <c r="L622" t="s">
        <v>4919</v>
      </c>
      <c r="M622" t="s">
        <v>4920</v>
      </c>
      <c r="N622" t="s">
        <v>4921</v>
      </c>
      <c r="O622" t="s">
        <v>4922</v>
      </c>
      <c r="P622" t="s">
        <v>26</v>
      </c>
      <c r="Q622" s="3" t="d">
        <v>2026-01-10</v>
      </c>
      <c r="R622" t="s">
        <v>2745</v>
      </c>
      <c r="S622" t="s">
        <v>4923</v>
      </c>
    </row>
    <row r="623" spans="1:19" x14ac:dyDescent="0.2">
      <c r="A623" t="s">
        <v>4924</v>
      </c>
      <c r="B623" t="s">
        <v>26</v>
      </c>
      <c r="C623" t="s">
        <v>4925</v>
      </c>
      <c r="D623" t="s">
        <v>26</v>
      </c>
      <c r="E623" t="s">
        <v>26</v>
      </c>
      <c r="F623" t="s">
        <v>26</v>
      </c>
      <c r="G623" t="s">
        <v>4926</v>
      </c>
      <c r="H623" t="s">
        <v>26</v>
      </c>
      <c r="I623" t="s">
        <v>26</v>
      </c>
      <c r="J623" t="s">
        <v>26</v>
      </c>
      <c r="K623" t="s">
        <v>4927</v>
      </c>
      <c r="L623" t="s">
        <v>26</v>
      </c>
      <c r="M623" t="s">
        <v>26</v>
      </c>
      <c r="N623" t="s">
        <v>26</v>
      </c>
      <c r="O623" t="s">
        <v>26</v>
      </c>
      <c r="P623" t="s">
        <v>26</v>
      </c>
      <c r="Q623" t="s">
        <v>26</v>
      </c>
      <c r="R623" t="s">
        <v>2745</v>
      </c>
      <c r="S623" t="s">
        <v>4928</v>
      </c>
    </row>
    <row r="624" spans="1:19" x14ac:dyDescent="0.2">
      <c r="A624" t="s">
        <v>4929</v>
      </c>
      <c r="B624" t="s">
        <v>4929</v>
      </c>
      <c r="C624" t="s">
        <v>4930</v>
      </c>
      <c r="D624" t="s">
        <v>22</v>
      </c>
      <c r="E624" t="b">
        <v>0</v>
      </c>
      <c r="F624" t="s">
        <v>23</v>
      </c>
      <c r="G624" t="s">
        <v>4931</v>
      </c>
      <c r="H624" t="s">
        <v>3357</v>
      </c>
      <c r="I624" t="s">
        <v>26</v>
      </c>
      <c r="J624" t="s">
        <v>27</v>
      </c>
      <c r="K624" t="s">
        <v>4932</v>
      </c>
      <c r="L624" t="s">
        <v>4929</v>
      </c>
      <c r="M624" t="s">
        <v>4933</v>
      </c>
      <c r="N624" t="s">
        <v>26</v>
      </c>
      <c r="O624" t="s">
        <v>4934</v>
      </c>
      <c r="P624" t="s">
        <v>26</v>
      </c>
      <c r="Q624" s="1" t="d">
        <v>1950-11-01</v>
      </c>
      <c r="R624" t="s">
        <v>3298</v>
      </c>
      <c r="S624" t="s">
        <v>4935</v>
      </c>
    </row>
    <row r="625" spans="1:19" x14ac:dyDescent="0.2">
      <c r="A625" t="s">
        <v>4936</v>
      </c>
      <c r="B625" t="s">
        <v>4936</v>
      </c>
      <c r="C625" t="s">
        <v>4936</v>
      </c>
      <c r="D625" t="s">
        <v>22</v>
      </c>
      <c r="E625" t="b">
        <v>0</v>
      </c>
      <c r="F625" t="s">
        <v>23</v>
      </c>
      <c r="G625" t="s">
        <v>4937</v>
      </c>
      <c r="H625" t="s">
        <v>4938</v>
      </c>
      <c r="I625" t="s">
        <v>26</v>
      </c>
      <c r="J625" t="s">
        <v>27</v>
      </c>
      <c r="K625" t="s">
        <v>4939</v>
      </c>
      <c r="L625" t="s">
        <v>4936</v>
      </c>
      <c r="M625" t="s">
        <v>4940</v>
      </c>
      <c r="N625" t="s">
        <v>4941</v>
      </c>
      <c r="O625" t="s">
        <v>26</v>
      </c>
      <c r="P625" t="s">
        <v>4942</v>
      </c>
      <c r="Q625" t="s">
        <v>40</v>
      </c>
      <c r="R625" t="s">
        <v>4943</v>
      </c>
      <c r="S625" t="s">
        <v>4944</v>
      </c>
    </row>
    <row r="626" spans="1:19" x14ac:dyDescent="0.2">
      <c r="A626" t="s">
        <v>4945</v>
      </c>
      <c r="B626" t="s">
        <v>26</v>
      </c>
      <c r="C626" t="s">
        <v>4946</v>
      </c>
      <c r="D626" t="s">
        <v>26</v>
      </c>
      <c r="E626" t="s">
        <v>26</v>
      </c>
      <c r="F626" t="s">
        <v>26</v>
      </c>
      <c r="G626" t="s">
        <v>4947</v>
      </c>
      <c r="H626" t="s">
        <v>26</v>
      </c>
      <c r="I626" t="s">
        <v>26</v>
      </c>
      <c r="J626" t="s">
        <v>26</v>
      </c>
      <c r="K626" t="s">
        <v>4948</v>
      </c>
      <c r="L626" t="s">
        <v>26</v>
      </c>
      <c r="M626" t="s">
        <v>26</v>
      </c>
      <c r="N626" t="s">
        <v>26</v>
      </c>
      <c r="O626" t="s">
        <v>26</v>
      </c>
      <c r="P626" t="s">
        <v>26</v>
      </c>
      <c r="Q626" t="s">
        <v>26</v>
      </c>
      <c r="R626" t="s">
        <v>3298</v>
      </c>
      <c r="S626" t="s">
        <v>4949</v>
      </c>
    </row>
    <row r="627" spans="1:19" x14ac:dyDescent="0.2">
      <c r="A627" t="s">
        <v>4950</v>
      </c>
      <c r="B627" t="s">
        <v>26</v>
      </c>
      <c r="C627" t="s">
        <v>4951</v>
      </c>
      <c r="D627" t="s">
        <v>26</v>
      </c>
      <c r="E627" t="s">
        <v>26</v>
      </c>
      <c r="F627" t="s">
        <v>26</v>
      </c>
      <c r="G627" t="s">
        <v>4952</v>
      </c>
      <c r="H627" t="s">
        <v>26</v>
      </c>
      <c r="I627" t="s">
        <v>26</v>
      </c>
      <c r="J627" t="s">
        <v>26</v>
      </c>
      <c r="K627" t="s">
        <v>26</v>
      </c>
      <c r="L627" t="s">
        <v>26</v>
      </c>
      <c r="M627" t="s">
        <v>26</v>
      </c>
      <c r="N627" t="s">
        <v>26</v>
      </c>
      <c r="O627" t="s">
        <v>26</v>
      </c>
      <c r="P627" t="s">
        <v>26</v>
      </c>
      <c r="Q627" t="s">
        <v>26</v>
      </c>
      <c r="R627" t="s">
        <v>3298</v>
      </c>
      <c r="S627" t="s">
        <v>4953</v>
      </c>
    </row>
    <row r="628" spans="1:19" x14ac:dyDescent="0.2">
      <c r="A628" t="s">
        <v>4954</v>
      </c>
      <c r="B628" t="s">
        <v>26</v>
      </c>
      <c r="C628" t="s">
        <v>4955</v>
      </c>
      <c r="D628" t="s">
        <v>26</v>
      </c>
      <c r="E628" t="s">
        <v>26</v>
      </c>
      <c r="F628" t="s">
        <v>26</v>
      </c>
      <c r="G628" t="s">
        <v>4956</v>
      </c>
      <c r="H628" t="s">
        <v>26</v>
      </c>
      <c r="I628" t="s">
        <v>26</v>
      </c>
      <c r="J628" t="s">
        <v>26</v>
      </c>
      <c r="K628" t="s">
        <v>4957</v>
      </c>
      <c r="L628" t="s">
        <v>26</v>
      </c>
      <c r="M628" t="s">
        <v>26</v>
      </c>
      <c r="N628" t="s">
        <v>26</v>
      </c>
      <c r="O628" t="s">
        <v>26</v>
      </c>
      <c r="P628" t="s">
        <v>26</v>
      </c>
      <c r="Q628" t="s">
        <v>26</v>
      </c>
      <c r="R628" t="s">
        <v>3298</v>
      </c>
      <c r="S628" t="s">
        <v>4958</v>
      </c>
    </row>
    <row r="629" spans="1:19" x14ac:dyDescent="0.2">
      <c r="A629" t="s">
        <v>4959</v>
      </c>
      <c r="B629" t="s">
        <v>26</v>
      </c>
      <c r="C629" t="s">
        <v>4960</v>
      </c>
      <c r="D629" t="s">
        <v>26</v>
      </c>
      <c r="E629" t="s">
        <v>26</v>
      </c>
      <c r="F629" t="s">
        <v>26</v>
      </c>
      <c r="G629" t="s">
        <v>4961</v>
      </c>
      <c r="H629" t="s">
        <v>26</v>
      </c>
      <c r="I629" t="s">
        <v>26</v>
      </c>
      <c r="J629" t="s">
        <v>26</v>
      </c>
      <c r="K629" t="s">
        <v>4962</v>
      </c>
      <c r="L629" t="s">
        <v>26</v>
      </c>
      <c r="M629" t="s">
        <v>26</v>
      </c>
      <c r="N629" t="s">
        <v>26</v>
      </c>
      <c r="O629" t="s">
        <v>26</v>
      </c>
      <c r="P629" t="s">
        <v>26</v>
      </c>
      <c r="Q629" t="s">
        <v>26</v>
      </c>
      <c r="R629" t="s">
        <v>3298</v>
      </c>
      <c r="S629" t="s">
        <v>4963</v>
      </c>
    </row>
    <row r="630" spans="1:19" x14ac:dyDescent="0.2">
      <c r="A630" t="s">
        <v>4964</v>
      </c>
      <c r="B630" t="s">
        <v>26</v>
      </c>
      <c r="C630" t="s">
        <v>4965</v>
      </c>
      <c r="D630" t="s">
        <v>26</v>
      </c>
      <c r="E630" t="s">
        <v>26</v>
      </c>
      <c r="F630" t="s">
        <v>26</v>
      </c>
      <c r="G630" t="s">
        <v>4966</v>
      </c>
      <c r="H630" t="s">
        <v>26</v>
      </c>
      <c r="I630" t="s">
        <v>26</v>
      </c>
      <c r="J630" t="s">
        <v>26</v>
      </c>
      <c r="K630" t="s">
        <v>4967</v>
      </c>
      <c r="L630" t="s">
        <v>4968</v>
      </c>
      <c r="M630" t="s">
        <v>26</v>
      </c>
      <c r="N630" t="s">
        <v>26</v>
      </c>
      <c r="O630" t="s">
        <v>26</v>
      </c>
      <c r="P630" t="s">
        <v>26</v>
      </c>
      <c r="Q630" t="s">
        <v>26</v>
      </c>
      <c r="R630" t="s">
        <v>4193</v>
      </c>
      <c r="S630" t="s">
        <v>4969</v>
      </c>
    </row>
    <row r="631" spans="1:19" x14ac:dyDescent="0.2">
      <c r="A631" t="s">
        <v>4970</v>
      </c>
      <c r="B631" t="s">
        <v>4971</v>
      </c>
      <c r="C631" t="s">
        <v>4972</v>
      </c>
      <c r="D631" t="s">
        <v>22</v>
      </c>
      <c r="E631" t="b">
        <v>0</v>
      </c>
      <c r="F631" t="s">
        <v>23</v>
      </c>
      <c r="G631" t="s">
        <v>4973</v>
      </c>
      <c r="H631" t="s">
        <v>4974</v>
      </c>
      <c r="I631" t="s">
        <v>26</v>
      </c>
      <c r="J631" t="s">
        <v>27</v>
      </c>
      <c r="K631" t="s">
        <v>4975</v>
      </c>
      <c r="L631" t="s">
        <v>4976</v>
      </c>
      <c r="M631" t="s">
        <v>4977</v>
      </c>
      <c r="N631" t="s">
        <v>4978</v>
      </c>
      <c r="O631" t="s">
        <v>26</v>
      </c>
      <c r="P631">
        <f>1-781-819-5034</f>
        <v>-6633</v>
      </c>
      <c r="Q631" t="s">
        <v>621</v>
      </c>
      <c r="R631" t="s">
        <v>41</v>
      </c>
      <c r="S631" t="s">
        <v>4979</v>
      </c>
    </row>
    <row r="632" spans="1:19" x14ac:dyDescent="0.2">
      <c r="A632" t="s">
        <v>4980</v>
      </c>
      <c r="B632" t="s">
        <v>4981</v>
      </c>
      <c r="C632" t="s">
        <v>4982</v>
      </c>
      <c r="D632" t="s">
        <v>22</v>
      </c>
      <c r="E632" t="b">
        <v>0</v>
      </c>
      <c r="F632" t="s">
        <v>23</v>
      </c>
      <c r="G632" t="s">
        <v>4983</v>
      </c>
      <c r="H632" t="s">
        <v>784</v>
      </c>
      <c r="I632" t="s">
        <v>26</v>
      </c>
      <c r="J632" t="s">
        <v>27</v>
      </c>
      <c r="K632" t="s">
        <v>4984</v>
      </c>
      <c r="L632" t="s">
        <v>4985</v>
      </c>
      <c r="M632" t="s">
        <v>4986</v>
      </c>
      <c r="N632" t="s">
        <v>26</v>
      </c>
      <c r="O632" t="s">
        <v>26</v>
      </c>
      <c r="P632" t="s">
        <v>26</v>
      </c>
      <c r="Q632" s="1" t="d">
        <v>1950-11-01</v>
      </c>
      <c r="R632" t="s">
        <v>4987</v>
      </c>
      <c r="S632" t="s">
        <v>4988</v>
      </c>
    </row>
    <row r="633" spans="1:19" x14ac:dyDescent="0.2">
      <c r="A633" t="s">
        <v>4989</v>
      </c>
      <c r="B633" t="s">
        <v>26</v>
      </c>
      <c r="C633" t="s">
        <v>4990</v>
      </c>
      <c r="D633" t="s">
        <v>26</v>
      </c>
      <c r="E633" t="s">
        <v>26</v>
      </c>
      <c r="F633" t="s">
        <v>26</v>
      </c>
      <c r="G633" t="s">
        <v>4991</v>
      </c>
      <c r="H633" t="s">
        <v>26</v>
      </c>
      <c r="I633" t="s">
        <v>26</v>
      </c>
      <c r="J633" t="s">
        <v>26</v>
      </c>
      <c r="K633" t="s">
        <v>26</v>
      </c>
      <c r="L633" t="s">
        <v>26</v>
      </c>
      <c r="M633" t="s">
        <v>26</v>
      </c>
      <c r="N633" t="s">
        <v>26</v>
      </c>
      <c r="O633" t="s">
        <v>26</v>
      </c>
      <c r="P633" t="s">
        <v>26</v>
      </c>
      <c r="Q633" t="s">
        <v>26</v>
      </c>
      <c r="R633" t="s">
        <v>4448</v>
      </c>
      <c r="S633" t="s">
        <v>4992</v>
      </c>
    </row>
    <row r="634" spans="1:19" x14ac:dyDescent="0.2">
      <c r="A634" t="s">
        <v>4993</v>
      </c>
      <c r="B634" t="s">
        <v>26</v>
      </c>
      <c r="C634" t="s">
        <v>4994</v>
      </c>
      <c r="D634" t="s">
        <v>26</v>
      </c>
      <c r="E634" t="s">
        <v>26</v>
      </c>
      <c r="F634" t="s">
        <v>26</v>
      </c>
      <c r="G634" t="s">
        <v>4995</v>
      </c>
      <c r="H634" t="s">
        <v>26</v>
      </c>
      <c r="I634" t="s">
        <v>26</v>
      </c>
      <c r="J634" t="s">
        <v>26</v>
      </c>
      <c r="K634" t="s">
        <v>4996</v>
      </c>
      <c r="L634" t="s">
        <v>26</v>
      </c>
      <c r="M634" t="s">
        <v>26</v>
      </c>
      <c r="N634" t="s">
        <v>26</v>
      </c>
      <c r="O634" t="s">
        <v>26</v>
      </c>
      <c r="P634" t="s">
        <v>26</v>
      </c>
      <c r="Q634" t="s">
        <v>26</v>
      </c>
      <c r="R634" t="s">
        <v>4448</v>
      </c>
      <c r="S634" t="s">
        <v>4997</v>
      </c>
    </row>
    <row r="635" spans="1:19" x14ac:dyDescent="0.2">
      <c r="A635" t="s">
        <v>4998</v>
      </c>
      <c r="B635" t="s">
        <v>4999</v>
      </c>
      <c r="C635" t="s">
        <v>5000</v>
      </c>
      <c r="D635" t="s">
        <v>22</v>
      </c>
      <c r="E635" t="b">
        <v>0</v>
      </c>
      <c r="F635" t="s">
        <v>23</v>
      </c>
      <c r="G635" t="s">
        <v>5001</v>
      </c>
      <c r="H635" t="s">
        <v>5002</v>
      </c>
      <c r="I635" t="s">
        <v>26</v>
      </c>
      <c r="J635" t="s">
        <v>27</v>
      </c>
      <c r="K635" t="s">
        <v>5003</v>
      </c>
      <c r="L635" t="s">
        <v>4999</v>
      </c>
      <c r="M635" t="s">
        <v>5004</v>
      </c>
      <c r="N635" t="s">
        <v>26</v>
      </c>
      <c r="O635" t="s">
        <v>26</v>
      </c>
      <c r="P635" t="s">
        <v>26</v>
      </c>
      <c r="Q635" s="3" t="d">
        <v>2026-01-10</v>
      </c>
      <c r="R635" t="s">
        <v>4448</v>
      </c>
      <c r="S635" t="s">
        <v>5005</v>
      </c>
    </row>
    <row r="636" spans="1:19" x14ac:dyDescent="0.2">
      <c r="A636" t="s">
        <v>5006</v>
      </c>
      <c r="B636" t="s">
        <v>26</v>
      </c>
      <c r="C636" t="s">
        <v>5007</v>
      </c>
      <c r="D636" t="s">
        <v>26</v>
      </c>
      <c r="E636" t="s">
        <v>26</v>
      </c>
      <c r="F636" t="s">
        <v>26</v>
      </c>
      <c r="G636" t="s">
        <v>5008</v>
      </c>
      <c r="H636" t="s">
        <v>26</v>
      </c>
      <c r="I636" t="s">
        <v>26</v>
      </c>
      <c r="J636" t="s">
        <v>26</v>
      </c>
      <c r="K636" t="s">
        <v>5009</v>
      </c>
      <c r="L636" t="s">
        <v>5006</v>
      </c>
      <c r="M636" t="s">
        <v>5010</v>
      </c>
      <c r="N636" t="s">
        <v>26</v>
      </c>
      <c r="O636" t="s">
        <v>26</v>
      </c>
      <c r="P636" t="s">
        <v>26</v>
      </c>
      <c r="Q636" t="s">
        <v>26</v>
      </c>
      <c r="R636" t="s">
        <v>5011</v>
      </c>
      <c r="S636" t="s">
        <v>5012</v>
      </c>
    </row>
    <row r="637" spans="1:19" x14ac:dyDescent="0.2">
      <c r="A637" t="s">
        <v>5013</v>
      </c>
      <c r="B637" t="s">
        <v>26</v>
      </c>
      <c r="C637" t="s">
        <v>5014</v>
      </c>
      <c r="D637" t="s">
        <v>26</v>
      </c>
      <c r="E637" t="s">
        <v>26</v>
      </c>
      <c r="F637" t="s">
        <v>26</v>
      </c>
      <c r="G637" t="s">
        <v>5015</v>
      </c>
      <c r="H637" t="s">
        <v>26</v>
      </c>
      <c r="I637" t="s">
        <v>26</v>
      </c>
      <c r="J637" t="s">
        <v>26</v>
      </c>
      <c r="K637" t="s">
        <v>5016</v>
      </c>
      <c r="L637" t="s">
        <v>26</v>
      </c>
      <c r="M637" t="s">
        <v>26</v>
      </c>
      <c r="N637" t="s">
        <v>26</v>
      </c>
      <c r="O637" t="s">
        <v>26</v>
      </c>
      <c r="P637" t="s">
        <v>26</v>
      </c>
      <c r="Q637" t="s">
        <v>26</v>
      </c>
      <c r="R637" t="s">
        <v>588</v>
      </c>
      <c r="S637" t="s">
        <v>5017</v>
      </c>
    </row>
    <row r="638" spans="1:19" x14ac:dyDescent="0.2">
      <c r="A638" t="s">
        <v>5018</v>
      </c>
      <c r="B638" t="s">
        <v>5018</v>
      </c>
      <c r="C638" t="s">
        <v>5019</v>
      </c>
      <c r="D638" t="s">
        <v>22</v>
      </c>
      <c r="E638" t="b">
        <v>0</v>
      </c>
      <c r="F638" t="s">
        <v>23</v>
      </c>
      <c r="G638" t="s">
        <v>5020</v>
      </c>
      <c r="H638" t="s">
        <v>188</v>
      </c>
      <c r="I638" s="2" t="d">
        <v>2023-01-01</v>
      </c>
      <c r="J638" t="s">
        <v>27</v>
      </c>
      <c r="K638" t="s">
        <v>5021</v>
      </c>
      <c r="L638" t="s">
        <v>5022</v>
      </c>
      <c r="M638" t="s">
        <v>5023</v>
      </c>
      <c r="N638" t="s">
        <v>5024</v>
      </c>
      <c r="O638" t="s">
        <v>5025</v>
      </c>
      <c r="P638" t="s">
        <v>26</v>
      </c>
      <c r="Q638" t="s">
        <v>40</v>
      </c>
      <c r="R638" t="s">
        <v>1058</v>
      </c>
      <c r="S638" t="s">
        <v>5026</v>
      </c>
    </row>
    <row r="639" spans="1:19" x14ac:dyDescent="0.2">
      <c r="A639" t="s">
        <v>5027</v>
      </c>
      <c r="B639" t="s">
        <v>5028</v>
      </c>
      <c r="C639" t="s">
        <v>5029</v>
      </c>
      <c r="D639" t="s">
        <v>22</v>
      </c>
      <c r="E639" t="b">
        <v>0</v>
      </c>
      <c r="F639" t="s">
        <v>26</v>
      </c>
      <c r="G639" t="s">
        <v>5030</v>
      </c>
      <c r="H639" t="s">
        <v>5031</v>
      </c>
      <c r="I639" t="s">
        <v>26</v>
      </c>
      <c r="J639" t="s">
        <v>27</v>
      </c>
      <c r="K639" t="s">
        <v>5032</v>
      </c>
      <c r="L639" t="s">
        <v>5033</v>
      </c>
      <c r="M639" t="s">
        <v>5034</v>
      </c>
      <c r="N639" t="s">
        <v>26</v>
      </c>
      <c r="O639" t="s">
        <v>26</v>
      </c>
      <c r="P639" t="s">
        <v>26</v>
      </c>
      <c r="Q639" s="3" t="d">
        <v>2026-01-10</v>
      </c>
      <c r="R639" t="s">
        <v>4765</v>
      </c>
      <c r="S639" t="s">
        <v>5035</v>
      </c>
    </row>
    <row r="640" spans="1:19" x14ac:dyDescent="0.2">
      <c r="A640" t="s">
        <v>5036</v>
      </c>
      <c r="B640" t="s">
        <v>26</v>
      </c>
      <c r="C640" t="s">
        <v>5037</v>
      </c>
      <c r="D640" t="s">
        <v>26</v>
      </c>
      <c r="E640" t="s">
        <v>26</v>
      </c>
      <c r="F640" t="s">
        <v>26</v>
      </c>
      <c r="G640" t="s">
        <v>5038</v>
      </c>
      <c r="H640" t="s">
        <v>26</v>
      </c>
      <c r="I640" t="s">
        <v>26</v>
      </c>
      <c r="J640" t="s">
        <v>26</v>
      </c>
      <c r="K640" t="s">
        <v>5039</v>
      </c>
      <c r="L640" t="s">
        <v>5036</v>
      </c>
      <c r="M640" t="s">
        <v>5040</v>
      </c>
      <c r="N640" t="s">
        <v>26</v>
      </c>
      <c r="O640" t="s">
        <v>26</v>
      </c>
      <c r="P640" t="s">
        <v>26</v>
      </c>
      <c r="Q640" t="s">
        <v>26</v>
      </c>
      <c r="R640" t="s">
        <v>5041</v>
      </c>
      <c r="S640" t="s">
        <v>5042</v>
      </c>
    </row>
    <row r="641" spans="1:19" x14ac:dyDescent="0.2">
      <c r="A641" t="s">
        <v>5043</v>
      </c>
      <c r="B641" t="s">
        <v>26</v>
      </c>
      <c r="C641" t="s">
        <v>5044</v>
      </c>
      <c r="D641" t="s">
        <v>26</v>
      </c>
      <c r="E641" t="s">
        <v>26</v>
      </c>
      <c r="F641" t="s">
        <v>26</v>
      </c>
      <c r="G641" t="s">
        <v>5045</v>
      </c>
      <c r="H641" t="s">
        <v>26</v>
      </c>
      <c r="I641" t="s">
        <v>26</v>
      </c>
      <c r="J641" t="s">
        <v>26</v>
      </c>
      <c r="K641" t="s">
        <v>5046</v>
      </c>
      <c r="L641" t="s">
        <v>5043</v>
      </c>
      <c r="M641" t="s">
        <v>5047</v>
      </c>
      <c r="N641" t="s">
        <v>26</v>
      </c>
      <c r="O641" t="s">
        <v>26</v>
      </c>
      <c r="P641" t="s">
        <v>26</v>
      </c>
      <c r="Q641" t="s">
        <v>26</v>
      </c>
      <c r="R641" t="s">
        <v>5041</v>
      </c>
      <c r="S641" t="s">
        <v>5048</v>
      </c>
    </row>
    <row r="642" spans="1:19" x14ac:dyDescent="0.2">
      <c r="A642" t="s">
        <v>5049</v>
      </c>
      <c r="B642" t="s">
        <v>26</v>
      </c>
      <c r="C642" t="s">
        <v>5050</v>
      </c>
      <c r="D642" t="s">
        <v>26</v>
      </c>
      <c r="E642" t="s">
        <v>26</v>
      </c>
      <c r="F642" t="s">
        <v>26</v>
      </c>
      <c r="G642" t="s">
        <v>5051</v>
      </c>
      <c r="H642" t="s">
        <v>26</v>
      </c>
      <c r="I642" t="s">
        <v>26</v>
      </c>
      <c r="J642" t="s">
        <v>26</v>
      </c>
      <c r="K642" t="s">
        <v>5052</v>
      </c>
      <c r="L642" t="s">
        <v>5049</v>
      </c>
      <c r="M642" t="s">
        <v>26</v>
      </c>
      <c r="N642" t="s">
        <v>26</v>
      </c>
      <c r="O642" t="s">
        <v>26</v>
      </c>
      <c r="P642" t="s">
        <v>26</v>
      </c>
      <c r="Q642" t="s">
        <v>26</v>
      </c>
      <c r="R642" t="s">
        <v>5041</v>
      </c>
      <c r="S642" t="s">
        <v>5053</v>
      </c>
    </row>
    <row r="643" spans="1:19" x14ac:dyDescent="0.2">
      <c r="A643" t="s">
        <v>5054</v>
      </c>
      <c r="B643" t="s">
        <v>26</v>
      </c>
      <c r="C643" t="s">
        <v>5055</v>
      </c>
      <c r="D643" t="s">
        <v>26</v>
      </c>
      <c r="E643" t="s">
        <v>26</v>
      </c>
      <c r="F643" t="s">
        <v>26</v>
      </c>
      <c r="G643" t="s">
        <v>5056</v>
      </c>
      <c r="H643" t="s">
        <v>26</v>
      </c>
      <c r="I643" t="s">
        <v>26</v>
      </c>
      <c r="J643" t="s">
        <v>26</v>
      </c>
      <c r="K643" t="s">
        <v>5057</v>
      </c>
      <c r="L643" t="s">
        <v>26</v>
      </c>
      <c r="M643" t="s">
        <v>5058</v>
      </c>
      <c r="N643" t="s">
        <v>26</v>
      </c>
      <c r="O643" t="s">
        <v>26</v>
      </c>
      <c r="P643" t="s">
        <v>26</v>
      </c>
      <c r="Q643" t="s">
        <v>26</v>
      </c>
      <c r="R643" t="s">
        <v>5041</v>
      </c>
      <c r="S643" t="s">
        <v>5059</v>
      </c>
    </row>
    <row r="644" spans="1:19" x14ac:dyDescent="0.2">
      <c r="A644" t="s">
        <v>5060</v>
      </c>
      <c r="B644" t="s">
        <v>5060</v>
      </c>
      <c r="C644" t="s">
        <v>5061</v>
      </c>
      <c r="D644" t="s">
        <v>22</v>
      </c>
      <c r="E644" t="b">
        <v>0</v>
      </c>
      <c r="F644" t="s">
        <v>23</v>
      </c>
      <c r="G644" t="s">
        <v>5062</v>
      </c>
      <c r="H644" t="s">
        <v>634</v>
      </c>
      <c r="I644" t="s">
        <v>26</v>
      </c>
      <c r="J644" t="s">
        <v>27</v>
      </c>
      <c r="K644" t="s">
        <v>5063</v>
      </c>
      <c r="L644" t="s">
        <v>5064</v>
      </c>
      <c r="M644" t="s">
        <v>5065</v>
      </c>
      <c r="N644" t="s">
        <v>26</v>
      </c>
      <c r="O644" t="s">
        <v>5066</v>
      </c>
      <c r="P644" t="s">
        <v>26</v>
      </c>
      <c r="Q644" s="3" t="d">
        <v>2026-01-10</v>
      </c>
      <c r="R644" t="s">
        <v>5041</v>
      </c>
      <c r="S644" t="s">
        <v>5067</v>
      </c>
    </row>
    <row r="645" spans="1:19" x14ac:dyDescent="0.2">
      <c r="A645" t="s">
        <v>5068</v>
      </c>
      <c r="B645" t="s">
        <v>26</v>
      </c>
      <c r="C645" t="s">
        <v>5069</v>
      </c>
      <c r="D645" t="s">
        <v>26</v>
      </c>
      <c r="E645" t="s">
        <v>26</v>
      </c>
      <c r="F645" t="s">
        <v>26</v>
      </c>
      <c r="G645" t="s">
        <v>5070</v>
      </c>
      <c r="H645" t="s">
        <v>26</v>
      </c>
      <c r="I645" t="s">
        <v>26</v>
      </c>
      <c r="J645" t="s">
        <v>26</v>
      </c>
      <c r="K645" t="s">
        <v>5071</v>
      </c>
      <c r="L645" t="s">
        <v>26</v>
      </c>
      <c r="M645" t="s">
        <v>26</v>
      </c>
      <c r="N645" t="s">
        <v>26</v>
      </c>
      <c r="O645" t="s">
        <v>26</v>
      </c>
      <c r="P645" t="s">
        <v>26</v>
      </c>
      <c r="Q645" t="s">
        <v>26</v>
      </c>
      <c r="R645" t="s">
        <v>5041</v>
      </c>
      <c r="S645" t="s">
        <v>5072</v>
      </c>
    </row>
    <row r="646" spans="1:19" x14ac:dyDescent="0.2">
      <c r="A646" t="s">
        <v>5073</v>
      </c>
      <c r="B646" t="s">
        <v>5073</v>
      </c>
      <c r="C646" t="s">
        <v>5074</v>
      </c>
      <c r="D646" t="s">
        <v>22</v>
      </c>
      <c r="E646" t="b">
        <v>0</v>
      </c>
      <c r="F646" t="s">
        <v>23</v>
      </c>
      <c r="G646" t="s">
        <v>5075</v>
      </c>
      <c r="H646" t="s">
        <v>986</v>
      </c>
      <c r="I646" t="s">
        <v>26</v>
      </c>
      <c r="J646" t="s">
        <v>27</v>
      </c>
      <c r="K646" t="s">
        <v>5076</v>
      </c>
      <c r="L646" t="s">
        <v>5077</v>
      </c>
      <c r="M646" t="s">
        <v>26</v>
      </c>
      <c r="N646" t="s">
        <v>26</v>
      </c>
      <c r="O646" t="s">
        <v>26</v>
      </c>
      <c r="P646">
        <v>8853368444</v>
      </c>
      <c r="Q646" s="3" t="d">
        <v>2026-01-10</v>
      </c>
      <c r="R646" t="s">
        <v>2756</v>
      </c>
      <c r="S646" t="s">
        <v>5078</v>
      </c>
    </row>
    <row r="647" spans="1:19" x14ac:dyDescent="0.2">
      <c r="A647" t="s">
        <v>5079</v>
      </c>
      <c r="B647" t="s">
        <v>5079</v>
      </c>
      <c r="C647" t="s">
        <v>5080</v>
      </c>
      <c r="D647" t="s">
        <v>22</v>
      </c>
      <c r="E647" t="b">
        <v>0</v>
      </c>
      <c r="F647" t="s">
        <v>23</v>
      </c>
      <c r="G647" t="s">
        <v>5081</v>
      </c>
      <c r="H647" t="s">
        <v>2749</v>
      </c>
      <c r="I647" t="s">
        <v>26</v>
      </c>
      <c r="J647" t="s">
        <v>27</v>
      </c>
      <c r="K647" t="s">
        <v>5082</v>
      </c>
      <c r="L647" t="s">
        <v>5079</v>
      </c>
      <c r="M647" t="s">
        <v>5083</v>
      </c>
      <c r="N647" t="s">
        <v>26</v>
      </c>
      <c r="O647" t="s">
        <v>5084</v>
      </c>
      <c r="P647" t="s">
        <v>26</v>
      </c>
      <c r="Q647" s="3" t="d">
        <v>2026-01-10</v>
      </c>
      <c r="R647" t="s">
        <v>5041</v>
      </c>
      <c r="S647" t="s">
        <v>5085</v>
      </c>
    </row>
    <row r="648" spans="1:19" x14ac:dyDescent="0.2">
      <c r="A648" t="s">
        <v>5086</v>
      </c>
      <c r="B648" t="s">
        <v>5086</v>
      </c>
      <c r="C648" t="s">
        <v>5087</v>
      </c>
      <c r="D648" t="s">
        <v>22</v>
      </c>
      <c r="E648" t="b">
        <v>0</v>
      </c>
      <c r="F648" t="s">
        <v>23</v>
      </c>
      <c r="G648" t="s">
        <v>5088</v>
      </c>
      <c r="H648" t="s">
        <v>67</v>
      </c>
      <c r="I648" t="s">
        <v>26</v>
      </c>
      <c r="J648" t="s">
        <v>27</v>
      </c>
      <c r="K648" t="s">
        <v>5089</v>
      </c>
      <c r="L648" t="s">
        <v>5090</v>
      </c>
      <c r="M648" t="s">
        <v>5091</v>
      </c>
      <c r="N648" t="s">
        <v>26</v>
      </c>
      <c r="O648" t="s">
        <v>26</v>
      </c>
      <c r="P648" t="s">
        <v>26</v>
      </c>
      <c r="Q648" s="3" t="d">
        <v>2026-01-10</v>
      </c>
      <c r="R648" t="s">
        <v>5092</v>
      </c>
      <c r="S648" t="s">
        <v>5093</v>
      </c>
    </row>
    <row r="649" spans="1:19" x14ac:dyDescent="0.2">
      <c r="A649" t="s">
        <v>5094</v>
      </c>
      <c r="B649" t="s">
        <v>5095</v>
      </c>
      <c r="C649" t="s">
        <v>5096</v>
      </c>
      <c r="D649" t="s">
        <v>22</v>
      </c>
      <c r="E649" t="b">
        <v>1</v>
      </c>
      <c r="F649" t="s">
        <v>23</v>
      </c>
      <c r="G649" t="s">
        <v>5097</v>
      </c>
      <c r="H649" t="s">
        <v>5098</v>
      </c>
      <c r="I649" t="s">
        <v>26</v>
      </c>
      <c r="J649" t="s">
        <v>27</v>
      </c>
      <c r="K649" t="s">
        <v>5099</v>
      </c>
      <c r="L649" t="s">
        <v>5095</v>
      </c>
      <c r="M649" t="s">
        <v>26</v>
      </c>
      <c r="N649" t="s">
        <v>26</v>
      </c>
      <c r="O649" t="s">
        <v>26</v>
      </c>
      <c r="P649" t="s">
        <v>26</v>
      </c>
      <c r="Q649" s="1" t="d">
        <v>1950-11-01</v>
      </c>
      <c r="R649" t="s">
        <v>5100</v>
      </c>
      <c r="S649" t="s">
        <v>5101</v>
      </c>
    </row>
    <row r="650" spans="1:19" x14ac:dyDescent="0.2">
      <c r="A650" t="s">
        <v>5102</v>
      </c>
      <c r="B650" t="s">
        <v>5103</v>
      </c>
      <c r="C650" t="s">
        <v>5104</v>
      </c>
      <c r="D650" t="s">
        <v>22</v>
      </c>
      <c r="E650" t="b">
        <v>0</v>
      </c>
      <c r="F650" t="s">
        <v>23</v>
      </c>
      <c r="G650" t="s">
        <v>5105</v>
      </c>
      <c r="H650" t="s">
        <v>1065</v>
      </c>
      <c r="I650" t="s">
        <v>26</v>
      </c>
      <c r="J650" t="s">
        <v>27</v>
      </c>
      <c r="K650" t="s">
        <v>26</v>
      </c>
      <c r="L650" t="s">
        <v>26</v>
      </c>
      <c r="M650" t="s">
        <v>26</v>
      </c>
      <c r="N650" t="s">
        <v>26</v>
      </c>
      <c r="O650" t="s">
        <v>26</v>
      </c>
      <c r="P650" t="s">
        <v>26</v>
      </c>
      <c r="Q650" t="s">
        <v>26</v>
      </c>
      <c r="R650" t="s">
        <v>3020</v>
      </c>
      <c r="S650" t="s">
        <v>5106</v>
      </c>
    </row>
    <row r="651" spans="1:19" x14ac:dyDescent="0.2">
      <c r="A651" t="s">
        <v>5107</v>
      </c>
      <c r="B651" t="s">
        <v>5107</v>
      </c>
      <c r="C651" t="s">
        <v>5108</v>
      </c>
      <c r="D651" t="s">
        <v>22</v>
      </c>
      <c r="E651" t="b">
        <v>0</v>
      </c>
      <c r="F651" t="s">
        <v>23</v>
      </c>
      <c r="G651" t="s">
        <v>5109</v>
      </c>
      <c r="H651" t="s">
        <v>67</v>
      </c>
      <c r="I651" t="s">
        <v>26</v>
      </c>
      <c r="J651" t="s">
        <v>27</v>
      </c>
      <c r="K651" t="s">
        <v>5110</v>
      </c>
      <c r="L651" t="s">
        <v>5107</v>
      </c>
      <c r="M651" t="s">
        <v>5111</v>
      </c>
      <c r="N651" t="s">
        <v>5112</v>
      </c>
      <c r="O651" t="s">
        <v>5113</v>
      </c>
      <c r="P651" t="s">
        <v>5114</v>
      </c>
      <c r="Q651" t="s">
        <v>54</v>
      </c>
      <c r="R651" t="s">
        <v>41</v>
      </c>
      <c r="S651" t="s">
        <v>5115</v>
      </c>
    </row>
    <row r="652" spans="1:19" x14ac:dyDescent="0.2">
      <c r="A652" t="s">
        <v>5116</v>
      </c>
      <c r="B652" t="s">
        <v>26</v>
      </c>
      <c r="C652" t="s">
        <v>5117</v>
      </c>
      <c r="D652" t="s">
        <v>26</v>
      </c>
      <c r="E652" t="s">
        <v>26</v>
      </c>
      <c r="F652" t="s">
        <v>26</v>
      </c>
      <c r="G652" t="s">
        <v>5118</v>
      </c>
      <c r="H652" t="s">
        <v>26</v>
      </c>
      <c r="I652" t="s">
        <v>26</v>
      </c>
      <c r="J652" t="s">
        <v>26</v>
      </c>
      <c r="K652" t="s">
        <v>5119</v>
      </c>
      <c r="L652" t="s">
        <v>5120</v>
      </c>
      <c r="M652" t="s">
        <v>26</v>
      </c>
      <c r="N652" t="s">
        <v>26</v>
      </c>
      <c r="O652" t="s">
        <v>26</v>
      </c>
      <c r="P652" t="s">
        <v>26</v>
      </c>
      <c r="Q652" t="s">
        <v>26</v>
      </c>
      <c r="R652" t="s">
        <v>3020</v>
      </c>
      <c r="S652" t="s">
        <v>5121</v>
      </c>
    </row>
    <row r="653" spans="1:19" x14ac:dyDescent="0.2">
      <c r="A653" t="s">
        <v>5122</v>
      </c>
      <c r="B653" t="s">
        <v>26</v>
      </c>
      <c r="C653" t="s">
        <v>5123</v>
      </c>
      <c r="D653" t="s">
        <v>26</v>
      </c>
      <c r="E653" t="s">
        <v>26</v>
      </c>
      <c r="F653" t="s">
        <v>26</v>
      </c>
      <c r="G653" t="s">
        <v>5124</v>
      </c>
      <c r="H653" t="s">
        <v>26</v>
      </c>
      <c r="I653" t="s">
        <v>26</v>
      </c>
      <c r="J653" t="s">
        <v>26</v>
      </c>
      <c r="K653" t="s">
        <v>5125</v>
      </c>
      <c r="L653" t="s">
        <v>5126</v>
      </c>
      <c r="M653" t="s">
        <v>5127</v>
      </c>
      <c r="N653" t="s">
        <v>26</v>
      </c>
      <c r="O653" t="s">
        <v>26</v>
      </c>
      <c r="P653" t="s">
        <v>26</v>
      </c>
      <c r="Q653" t="s">
        <v>26</v>
      </c>
      <c r="R653" t="s">
        <v>3020</v>
      </c>
      <c r="S653" t="s">
        <v>5128</v>
      </c>
    </row>
    <row r="654" spans="1:19" x14ac:dyDescent="0.2">
      <c r="A654" t="s">
        <v>5129</v>
      </c>
      <c r="B654" t="s">
        <v>26</v>
      </c>
      <c r="C654" t="s">
        <v>5130</v>
      </c>
      <c r="D654" t="s">
        <v>26</v>
      </c>
      <c r="E654" t="s">
        <v>26</v>
      </c>
      <c r="F654" t="s">
        <v>26</v>
      </c>
      <c r="G654" t="s">
        <v>5131</v>
      </c>
      <c r="H654" t="s">
        <v>26</v>
      </c>
      <c r="I654" t="s">
        <v>26</v>
      </c>
      <c r="J654" t="s">
        <v>26</v>
      </c>
      <c r="K654" t="s">
        <v>26</v>
      </c>
      <c r="L654" t="s">
        <v>26</v>
      </c>
      <c r="M654" t="s">
        <v>26</v>
      </c>
      <c r="N654" t="s">
        <v>26</v>
      </c>
      <c r="O654" t="s">
        <v>26</v>
      </c>
      <c r="P654" t="s">
        <v>26</v>
      </c>
      <c r="Q654" t="s">
        <v>26</v>
      </c>
      <c r="R654" t="s">
        <v>3020</v>
      </c>
      <c r="S654" t="s">
        <v>5132</v>
      </c>
    </row>
    <row r="655" spans="1:19" x14ac:dyDescent="0.2">
      <c r="A655" t="s">
        <v>5133</v>
      </c>
      <c r="B655" t="s">
        <v>26</v>
      </c>
      <c r="C655" t="s">
        <v>5134</v>
      </c>
      <c r="D655" t="s">
        <v>26</v>
      </c>
      <c r="E655" t="s">
        <v>26</v>
      </c>
      <c r="F655" t="s">
        <v>26</v>
      </c>
      <c r="G655" t="s">
        <v>5135</v>
      </c>
      <c r="H655" t="s">
        <v>26</v>
      </c>
      <c r="I655" t="s">
        <v>26</v>
      </c>
      <c r="J655" t="s">
        <v>26</v>
      </c>
      <c r="K655" t="s">
        <v>5136</v>
      </c>
      <c r="L655" t="s">
        <v>26</v>
      </c>
      <c r="M655" t="s">
        <v>26</v>
      </c>
      <c r="N655" t="s">
        <v>5137</v>
      </c>
      <c r="O655" t="s">
        <v>26</v>
      </c>
      <c r="P655" t="s">
        <v>26</v>
      </c>
      <c r="Q655" t="s">
        <v>26</v>
      </c>
      <c r="R655" t="s">
        <v>3020</v>
      </c>
      <c r="S655" t="s">
        <v>5138</v>
      </c>
    </row>
    <row r="656" spans="1:19" x14ac:dyDescent="0.2">
      <c r="A656" t="s">
        <v>5139</v>
      </c>
      <c r="B656" t="s">
        <v>26</v>
      </c>
      <c r="C656" t="s">
        <v>5140</v>
      </c>
      <c r="D656" t="s">
        <v>26</v>
      </c>
      <c r="E656" t="s">
        <v>26</v>
      </c>
      <c r="F656" t="s">
        <v>26</v>
      </c>
      <c r="G656" t="s">
        <v>5141</v>
      </c>
      <c r="H656" t="s">
        <v>26</v>
      </c>
      <c r="I656" t="s">
        <v>26</v>
      </c>
      <c r="J656" t="s">
        <v>26</v>
      </c>
      <c r="K656" t="s">
        <v>5142</v>
      </c>
      <c r="L656" t="s">
        <v>5143</v>
      </c>
      <c r="M656" t="s">
        <v>26</v>
      </c>
      <c r="N656" t="s">
        <v>5144</v>
      </c>
      <c r="O656" t="s">
        <v>26</v>
      </c>
      <c r="P656" t="s">
        <v>26</v>
      </c>
      <c r="Q656" t="s">
        <v>26</v>
      </c>
      <c r="R656" t="s">
        <v>3948</v>
      </c>
      <c r="S656" t="s">
        <v>5145</v>
      </c>
    </row>
    <row r="657" spans="1:19" x14ac:dyDescent="0.2">
      <c r="A657" t="s">
        <v>5146</v>
      </c>
      <c r="B657" t="s">
        <v>5147</v>
      </c>
      <c r="C657" t="s">
        <v>5148</v>
      </c>
      <c r="D657" t="s">
        <v>22</v>
      </c>
      <c r="E657" t="b">
        <v>0</v>
      </c>
      <c r="F657" t="s">
        <v>23</v>
      </c>
      <c r="G657" t="s">
        <v>5149</v>
      </c>
      <c r="H657" t="s">
        <v>1836</v>
      </c>
      <c r="I657" t="s">
        <v>26</v>
      </c>
      <c r="J657" t="s">
        <v>27</v>
      </c>
      <c r="K657" t="s">
        <v>5150</v>
      </c>
      <c r="L657" t="s">
        <v>5146</v>
      </c>
      <c r="M657" t="s">
        <v>5151</v>
      </c>
      <c r="N657" t="s">
        <v>5152</v>
      </c>
      <c r="O657" t="s">
        <v>26</v>
      </c>
      <c r="P657" t="s">
        <v>26</v>
      </c>
      <c r="Q657" s="3" t="d">
        <v>2026-01-10</v>
      </c>
      <c r="R657" t="s">
        <v>3020</v>
      </c>
      <c r="S657" t="s">
        <v>5153</v>
      </c>
    </row>
    <row r="658" spans="1:19" x14ac:dyDescent="0.2">
      <c r="A658" t="s">
        <v>5154</v>
      </c>
      <c r="B658" t="s">
        <v>5155</v>
      </c>
      <c r="C658" t="s">
        <v>5156</v>
      </c>
      <c r="D658" t="s">
        <v>22</v>
      </c>
      <c r="E658" t="b">
        <v>0</v>
      </c>
      <c r="F658" t="s">
        <v>23</v>
      </c>
      <c r="G658" t="s">
        <v>5157</v>
      </c>
      <c r="H658" t="s">
        <v>67</v>
      </c>
      <c r="I658" t="s">
        <v>26</v>
      </c>
      <c r="J658" t="s">
        <v>27</v>
      </c>
      <c r="K658" t="s">
        <v>5158</v>
      </c>
      <c r="L658" t="s">
        <v>5159</v>
      </c>
      <c r="M658" t="s">
        <v>26</v>
      </c>
      <c r="N658" t="s">
        <v>26</v>
      </c>
      <c r="O658" t="s">
        <v>5160</v>
      </c>
      <c r="P658" t="s">
        <v>26</v>
      </c>
      <c r="Q658" s="1" t="d">
        <v>1950-11-01</v>
      </c>
      <c r="R658" t="s">
        <v>3020</v>
      </c>
      <c r="S658" t="s">
        <v>5161</v>
      </c>
    </row>
    <row r="659" spans="1:19" x14ac:dyDescent="0.2">
      <c r="A659" t="s">
        <v>5162</v>
      </c>
      <c r="B659" t="s">
        <v>26</v>
      </c>
      <c r="C659" t="s">
        <v>5163</v>
      </c>
      <c r="D659" t="s">
        <v>26</v>
      </c>
      <c r="E659" t="s">
        <v>26</v>
      </c>
      <c r="F659" t="s">
        <v>26</v>
      </c>
      <c r="G659" t="s">
        <v>5164</v>
      </c>
      <c r="H659" t="s">
        <v>26</v>
      </c>
      <c r="I659" t="s">
        <v>26</v>
      </c>
      <c r="J659" t="s">
        <v>26</v>
      </c>
      <c r="K659" t="s">
        <v>5165</v>
      </c>
      <c r="L659" t="s">
        <v>5162</v>
      </c>
      <c r="M659" t="s">
        <v>26</v>
      </c>
      <c r="N659" t="s">
        <v>26</v>
      </c>
      <c r="O659" t="s">
        <v>26</v>
      </c>
      <c r="P659" t="s">
        <v>26</v>
      </c>
      <c r="Q659" t="s">
        <v>26</v>
      </c>
      <c r="R659" t="s">
        <v>3020</v>
      </c>
      <c r="S659" t="s">
        <v>5166</v>
      </c>
    </row>
    <row r="660" spans="1:19" x14ac:dyDescent="0.2">
      <c r="A660" t="s">
        <v>5167</v>
      </c>
      <c r="B660" t="s">
        <v>5168</v>
      </c>
      <c r="C660" t="s">
        <v>5169</v>
      </c>
      <c r="D660" t="s">
        <v>22</v>
      </c>
      <c r="E660" t="b">
        <v>0</v>
      </c>
      <c r="F660" t="s">
        <v>23</v>
      </c>
      <c r="G660" t="s">
        <v>5170</v>
      </c>
      <c r="H660" t="s">
        <v>5171</v>
      </c>
      <c r="I660" t="s">
        <v>26</v>
      </c>
      <c r="J660" t="s">
        <v>27</v>
      </c>
      <c r="K660" t="s">
        <v>5172</v>
      </c>
      <c r="L660" t="s">
        <v>5167</v>
      </c>
      <c r="M660" t="s">
        <v>5173</v>
      </c>
      <c r="N660" t="s">
        <v>26</v>
      </c>
      <c r="O660" t="s">
        <v>26</v>
      </c>
      <c r="P660" t="s">
        <v>26</v>
      </c>
      <c r="Q660" t="s">
        <v>40</v>
      </c>
      <c r="R660" t="s">
        <v>5174</v>
      </c>
      <c r="S660" t="s">
        <v>5175</v>
      </c>
    </row>
    <row r="661" spans="1:19" x14ac:dyDescent="0.2">
      <c r="A661" t="s">
        <v>5176</v>
      </c>
      <c r="B661" t="s">
        <v>26</v>
      </c>
      <c r="C661" t="s">
        <v>5177</v>
      </c>
      <c r="D661" t="s">
        <v>26</v>
      </c>
      <c r="E661" t="s">
        <v>26</v>
      </c>
      <c r="F661" t="s">
        <v>26</v>
      </c>
      <c r="G661" t="s">
        <v>5178</v>
      </c>
      <c r="H661" t="s">
        <v>26</v>
      </c>
      <c r="I661" t="s">
        <v>26</v>
      </c>
      <c r="J661" t="s">
        <v>26</v>
      </c>
      <c r="K661" t="s">
        <v>26</v>
      </c>
      <c r="L661" t="s">
        <v>26</v>
      </c>
      <c r="M661" t="s">
        <v>26</v>
      </c>
      <c r="N661" t="s">
        <v>26</v>
      </c>
      <c r="O661" t="s">
        <v>26</v>
      </c>
      <c r="P661" t="s">
        <v>26</v>
      </c>
      <c r="Q661" t="s">
        <v>26</v>
      </c>
      <c r="R661" t="s">
        <v>3020</v>
      </c>
      <c r="S661" t="s">
        <v>5179</v>
      </c>
    </row>
    <row r="662" spans="1:19" x14ac:dyDescent="0.2">
      <c r="A662" t="s">
        <v>5180</v>
      </c>
      <c r="B662" t="s">
        <v>26</v>
      </c>
      <c r="C662" t="s">
        <v>5181</v>
      </c>
      <c r="D662" t="s">
        <v>26</v>
      </c>
      <c r="E662" t="s">
        <v>26</v>
      </c>
      <c r="F662" t="s">
        <v>26</v>
      </c>
      <c r="G662" t="s">
        <v>5182</v>
      </c>
      <c r="H662" t="s">
        <v>26</v>
      </c>
      <c r="I662" t="s">
        <v>26</v>
      </c>
      <c r="J662" t="s">
        <v>26</v>
      </c>
      <c r="K662" t="s">
        <v>5183</v>
      </c>
      <c r="L662" t="s">
        <v>5180</v>
      </c>
      <c r="M662" t="s">
        <v>5184</v>
      </c>
      <c r="N662" t="s">
        <v>26</v>
      </c>
      <c r="O662" t="s">
        <v>26</v>
      </c>
      <c r="P662" t="s">
        <v>26</v>
      </c>
      <c r="Q662" t="s">
        <v>26</v>
      </c>
      <c r="R662" t="s">
        <v>3020</v>
      </c>
      <c r="S662" t="s">
        <v>5185</v>
      </c>
    </row>
    <row r="663" spans="1:19" x14ac:dyDescent="0.2">
      <c r="A663" t="s">
        <v>5186</v>
      </c>
      <c r="B663" t="s">
        <v>26</v>
      </c>
      <c r="C663" t="s">
        <v>5187</v>
      </c>
      <c r="D663" t="s">
        <v>26</v>
      </c>
      <c r="E663" t="s">
        <v>26</v>
      </c>
      <c r="F663" t="s">
        <v>26</v>
      </c>
      <c r="G663" t="s">
        <v>5188</v>
      </c>
      <c r="H663" t="s">
        <v>26</v>
      </c>
      <c r="I663" t="s">
        <v>26</v>
      </c>
      <c r="J663" t="s">
        <v>26</v>
      </c>
      <c r="K663" t="s">
        <v>5189</v>
      </c>
      <c r="L663" t="s">
        <v>5190</v>
      </c>
      <c r="M663" t="s">
        <v>26</v>
      </c>
      <c r="N663" t="s">
        <v>26</v>
      </c>
      <c r="O663" t="s">
        <v>26</v>
      </c>
      <c r="P663" t="s">
        <v>26</v>
      </c>
      <c r="Q663" t="s">
        <v>26</v>
      </c>
      <c r="R663" t="s">
        <v>3020</v>
      </c>
      <c r="S663" t="s">
        <v>5191</v>
      </c>
    </row>
    <row r="664" spans="1:19" x14ac:dyDescent="0.2">
      <c r="A664" t="s">
        <v>5192</v>
      </c>
      <c r="B664" t="s">
        <v>5193</v>
      </c>
      <c r="C664" t="s">
        <v>5194</v>
      </c>
      <c r="D664" t="s">
        <v>22</v>
      </c>
      <c r="E664" t="b">
        <v>0</v>
      </c>
      <c r="F664" t="s">
        <v>23</v>
      </c>
      <c r="G664" t="s">
        <v>5195</v>
      </c>
      <c r="H664" t="s">
        <v>146</v>
      </c>
      <c r="I664" t="s">
        <v>26</v>
      </c>
      <c r="J664" t="s">
        <v>27</v>
      </c>
      <c r="K664" t="s">
        <v>5196</v>
      </c>
      <c r="L664" t="s">
        <v>5197</v>
      </c>
      <c r="M664" t="s">
        <v>26</v>
      </c>
      <c r="N664" t="s">
        <v>5198</v>
      </c>
      <c r="O664" t="s">
        <v>5199</v>
      </c>
      <c r="P664" t="s">
        <v>26</v>
      </c>
      <c r="Q664" s="1" t="d">
        <v>1950-11-01</v>
      </c>
      <c r="R664" t="s">
        <v>3020</v>
      </c>
      <c r="S664" t="s">
        <v>5200</v>
      </c>
    </row>
    <row r="665" spans="1:19" x14ac:dyDescent="0.2">
      <c r="A665" t="s">
        <v>5201</v>
      </c>
      <c r="B665" t="s">
        <v>26</v>
      </c>
      <c r="C665" t="s">
        <v>5202</v>
      </c>
      <c r="D665" t="s">
        <v>26</v>
      </c>
      <c r="E665" t="s">
        <v>26</v>
      </c>
      <c r="F665" t="s">
        <v>26</v>
      </c>
      <c r="G665" t="s">
        <v>5203</v>
      </c>
      <c r="H665" t="s">
        <v>26</v>
      </c>
      <c r="I665" t="s">
        <v>26</v>
      </c>
      <c r="J665" t="s">
        <v>26</v>
      </c>
      <c r="K665" t="s">
        <v>5204</v>
      </c>
      <c r="L665" t="s">
        <v>26</v>
      </c>
      <c r="M665" t="s">
        <v>26</v>
      </c>
      <c r="N665" t="s">
        <v>26</v>
      </c>
      <c r="O665" t="s">
        <v>26</v>
      </c>
      <c r="P665" t="s">
        <v>26</v>
      </c>
      <c r="Q665" t="s">
        <v>26</v>
      </c>
      <c r="R665" t="s">
        <v>3020</v>
      </c>
      <c r="S665" t="s">
        <v>5205</v>
      </c>
    </row>
    <row r="666" spans="1:19" x14ac:dyDescent="0.2">
      <c r="A666" t="s">
        <v>5206</v>
      </c>
      <c r="B666" t="s">
        <v>26</v>
      </c>
      <c r="C666" t="s">
        <v>5207</v>
      </c>
      <c r="D666" t="s">
        <v>26</v>
      </c>
      <c r="E666" t="s">
        <v>26</v>
      </c>
      <c r="F666" t="s">
        <v>26</v>
      </c>
      <c r="G666" t="s">
        <v>5208</v>
      </c>
      <c r="H666" t="s">
        <v>26</v>
      </c>
      <c r="I666" t="s">
        <v>26</v>
      </c>
      <c r="J666" t="s">
        <v>26</v>
      </c>
      <c r="K666" t="s">
        <v>5209</v>
      </c>
      <c r="L666" t="s">
        <v>5210</v>
      </c>
      <c r="M666" t="s">
        <v>5211</v>
      </c>
      <c r="N666" t="s">
        <v>26</v>
      </c>
      <c r="O666" t="s">
        <v>26</v>
      </c>
      <c r="P666" t="s">
        <v>26</v>
      </c>
      <c r="Q666" t="s">
        <v>26</v>
      </c>
      <c r="R666" t="s">
        <v>3020</v>
      </c>
      <c r="S666" t="s">
        <v>5212</v>
      </c>
    </row>
    <row r="667" spans="1:19" x14ac:dyDescent="0.2">
      <c r="A667" t="s">
        <v>5213</v>
      </c>
      <c r="B667" t="s">
        <v>26</v>
      </c>
      <c r="C667" t="s">
        <v>5214</v>
      </c>
      <c r="D667" t="s">
        <v>26</v>
      </c>
      <c r="E667" t="s">
        <v>26</v>
      </c>
      <c r="F667" t="s">
        <v>26</v>
      </c>
      <c r="G667" t="s">
        <v>5215</v>
      </c>
      <c r="H667" t="s">
        <v>26</v>
      </c>
      <c r="I667" t="s">
        <v>26</v>
      </c>
      <c r="J667" t="s">
        <v>26</v>
      </c>
      <c r="K667" t="s">
        <v>5216</v>
      </c>
      <c r="L667" t="s">
        <v>26</v>
      </c>
      <c r="M667" t="s">
        <v>26</v>
      </c>
      <c r="N667" t="s">
        <v>26</v>
      </c>
      <c r="O667" t="s">
        <v>26</v>
      </c>
      <c r="P667" t="s">
        <v>26</v>
      </c>
      <c r="Q667" t="s">
        <v>26</v>
      </c>
      <c r="R667" t="s">
        <v>3020</v>
      </c>
      <c r="S667" t="s">
        <v>5217</v>
      </c>
    </row>
    <row r="668" spans="1:19" x14ac:dyDescent="0.2">
      <c r="A668" t="s">
        <v>5218</v>
      </c>
      <c r="B668" t="s">
        <v>26</v>
      </c>
      <c r="C668" t="s">
        <v>5219</v>
      </c>
      <c r="D668" t="s">
        <v>26</v>
      </c>
      <c r="E668" t="s">
        <v>26</v>
      </c>
      <c r="F668" t="s">
        <v>26</v>
      </c>
      <c r="G668" t="s">
        <v>5220</v>
      </c>
      <c r="H668" t="s">
        <v>26</v>
      </c>
      <c r="I668" t="s">
        <v>26</v>
      </c>
      <c r="J668" t="s">
        <v>26</v>
      </c>
      <c r="K668" t="s">
        <v>26</v>
      </c>
      <c r="L668" t="s">
        <v>26</v>
      </c>
      <c r="M668" t="s">
        <v>26</v>
      </c>
      <c r="N668" t="s">
        <v>26</v>
      </c>
      <c r="O668" t="s">
        <v>26</v>
      </c>
      <c r="P668" t="s">
        <v>26</v>
      </c>
      <c r="Q668" t="s">
        <v>26</v>
      </c>
      <c r="R668" t="s">
        <v>3020</v>
      </c>
      <c r="S668" t="s">
        <v>5221</v>
      </c>
    </row>
    <row r="669" spans="1:19" x14ac:dyDescent="0.2">
      <c r="A669" t="s">
        <v>5222</v>
      </c>
      <c r="B669" t="s">
        <v>26</v>
      </c>
      <c r="C669" t="s">
        <v>5223</v>
      </c>
      <c r="D669" t="s">
        <v>26</v>
      </c>
      <c r="E669" t="s">
        <v>26</v>
      </c>
      <c r="F669" t="s">
        <v>26</v>
      </c>
      <c r="G669" t="s">
        <v>5224</v>
      </c>
      <c r="H669" t="s">
        <v>26</v>
      </c>
      <c r="I669" t="s">
        <v>26</v>
      </c>
      <c r="J669" t="s">
        <v>26</v>
      </c>
      <c r="K669" t="s">
        <v>5225</v>
      </c>
      <c r="L669" t="s">
        <v>5222</v>
      </c>
      <c r="M669" t="s">
        <v>5226</v>
      </c>
      <c r="N669" t="s">
        <v>26</v>
      </c>
      <c r="O669" t="s">
        <v>26</v>
      </c>
      <c r="P669" t="s">
        <v>26</v>
      </c>
      <c r="Q669" t="s">
        <v>26</v>
      </c>
      <c r="R669" t="s">
        <v>3020</v>
      </c>
      <c r="S669" t="s">
        <v>5227</v>
      </c>
    </row>
    <row r="670" spans="1:19" x14ac:dyDescent="0.2">
      <c r="A670" t="s">
        <v>5228</v>
      </c>
      <c r="B670" t="s">
        <v>5228</v>
      </c>
      <c r="C670" t="s">
        <v>5229</v>
      </c>
      <c r="D670" t="s">
        <v>22</v>
      </c>
      <c r="E670" t="b">
        <v>0</v>
      </c>
      <c r="F670" t="s">
        <v>23</v>
      </c>
      <c r="G670" t="s">
        <v>5230</v>
      </c>
      <c r="H670" t="s">
        <v>5231</v>
      </c>
      <c r="I670" t="s">
        <v>26</v>
      </c>
      <c r="J670" t="s">
        <v>27</v>
      </c>
      <c r="K670" t="s">
        <v>5232</v>
      </c>
      <c r="L670" t="s">
        <v>5233</v>
      </c>
      <c r="M670" t="s">
        <v>26</v>
      </c>
      <c r="N670" t="s">
        <v>26</v>
      </c>
      <c r="O670" t="s">
        <v>5234</v>
      </c>
      <c r="P670" t="s">
        <v>26</v>
      </c>
      <c r="Q670" s="3" t="d">
        <v>2026-01-10</v>
      </c>
      <c r="R670" t="s">
        <v>3020</v>
      </c>
      <c r="S670" t="s">
        <v>5235</v>
      </c>
    </row>
    <row r="671" spans="1:19" x14ac:dyDescent="0.2">
      <c r="A671" t="s">
        <v>5236</v>
      </c>
      <c r="B671" t="s">
        <v>26</v>
      </c>
      <c r="C671" t="s">
        <v>5237</v>
      </c>
      <c r="D671" t="s">
        <v>26</v>
      </c>
      <c r="E671" t="s">
        <v>26</v>
      </c>
      <c r="F671" t="s">
        <v>26</v>
      </c>
      <c r="G671" t="s">
        <v>5238</v>
      </c>
      <c r="H671" t="s">
        <v>26</v>
      </c>
      <c r="I671" t="s">
        <v>26</v>
      </c>
      <c r="J671" t="s">
        <v>26</v>
      </c>
      <c r="K671" t="s">
        <v>5239</v>
      </c>
      <c r="L671" t="s">
        <v>5236</v>
      </c>
      <c r="M671" t="s">
        <v>26</v>
      </c>
      <c r="N671" t="s">
        <v>26</v>
      </c>
      <c r="O671" t="s">
        <v>26</v>
      </c>
      <c r="P671" t="s">
        <v>26</v>
      </c>
      <c r="Q671" t="s">
        <v>26</v>
      </c>
      <c r="R671" t="s">
        <v>2748</v>
      </c>
      <c r="S671" t="s">
        <v>5240</v>
      </c>
    </row>
    <row r="672" spans="1:19" x14ac:dyDescent="0.2">
      <c r="A672" t="s">
        <v>5241</v>
      </c>
      <c r="B672" t="s">
        <v>5241</v>
      </c>
      <c r="C672" t="s">
        <v>5242</v>
      </c>
      <c r="D672" t="s">
        <v>22</v>
      </c>
      <c r="E672" t="b">
        <v>0</v>
      </c>
      <c r="F672" t="s">
        <v>23</v>
      </c>
      <c r="G672" t="s">
        <v>5243</v>
      </c>
      <c r="H672" t="s">
        <v>691</v>
      </c>
      <c r="I672" s="2" t="d">
        <v>2020-03-01</v>
      </c>
      <c r="J672" t="s">
        <v>27</v>
      </c>
      <c r="K672" t="s">
        <v>5244</v>
      </c>
      <c r="L672" t="s">
        <v>5245</v>
      </c>
      <c r="M672" t="s">
        <v>5246</v>
      </c>
      <c r="N672" t="s">
        <v>5247</v>
      </c>
      <c r="O672" t="s">
        <v>5248</v>
      </c>
      <c r="P672" t="s">
        <v>26</v>
      </c>
      <c r="Q672" s="1" t="d">
        <v>1950-11-01</v>
      </c>
      <c r="R672" t="s">
        <v>41</v>
      </c>
      <c r="S672" t="s">
        <v>5249</v>
      </c>
    </row>
    <row r="673" spans="1:19" x14ac:dyDescent="0.2">
      <c r="A673" t="s">
        <v>5250</v>
      </c>
      <c r="B673" t="s">
        <v>5250</v>
      </c>
      <c r="C673" t="s">
        <v>5251</v>
      </c>
      <c r="D673" t="s">
        <v>22</v>
      </c>
      <c r="E673" t="b">
        <v>0</v>
      </c>
      <c r="F673" t="s">
        <v>23</v>
      </c>
      <c r="G673" t="s">
        <v>5252</v>
      </c>
      <c r="H673" t="s">
        <v>634</v>
      </c>
      <c r="I673" s="2" t="d">
        <v>2022-01-01</v>
      </c>
      <c r="J673" t="s">
        <v>27</v>
      </c>
      <c r="K673" t="s">
        <v>5253</v>
      </c>
      <c r="L673" t="s">
        <v>5254</v>
      </c>
      <c r="M673" t="s">
        <v>5255</v>
      </c>
      <c r="N673" t="s">
        <v>5256</v>
      </c>
      <c r="O673" t="s">
        <v>5257</v>
      </c>
      <c r="P673" t="s">
        <v>5258</v>
      </c>
      <c r="Q673" s="1" t="d">
        <v>1950-11-01</v>
      </c>
      <c r="R673" t="s">
        <v>371</v>
      </c>
      <c r="S673" t="s">
        <v>5259</v>
      </c>
    </row>
    <row r="674" spans="1:19" x14ac:dyDescent="0.2">
      <c r="A674" t="s">
        <v>5260</v>
      </c>
      <c r="B674" t="s">
        <v>26</v>
      </c>
      <c r="C674" t="s">
        <v>5261</v>
      </c>
      <c r="D674" t="s">
        <v>26</v>
      </c>
      <c r="E674" t="s">
        <v>26</v>
      </c>
      <c r="F674" t="s">
        <v>26</v>
      </c>
      <c r="G674" t="s">
        <v>5262</v>
      </c>
      <c r="H674" t="s">
        <v>26</v>
      </c>
      <c r="I674" t="s">
        <v>26</v>
      </c>
      <c r="J674" t="s">
        <v>26</v>
      </c>
      <c r="K674" t="s">
        <v>5263</v>
      </c>
      <c r="L674" t="s">
        <v>5264</v>
      </c>
      <c r="M674" t="s">
        <v>26</v>
      </c>
      <c r="N674" t="s">
        <v>26</v>
      </c>
      <c r="O674" t="s">
        <v>26</v>
      </c>
      <c r="P674" t="s">
        <v>26</v>
      </c>
      <c r="Q674" t="s">
        <v>26</v>
      </c>
      <c r="R674" t="s">
        <v>5265</v>
      </c>
      <c r="S674" t="s">
        <v>5266</v>
      </c>
    </row>
    <row r="675" spans="1:19" x14ac:dyDescent="0.2">
      <c r="A675" t="s">
        <v>5267</v>
      </c>
      <c r="B675" t="s">
        <v>26</v>
      </c>
      <c r="C675" t="s">
        <v>5268</v>
      </c>
      <c r="D675" t="s">
        <v>26</v>
      </c>
      <c r="E675" t="s">
        <v>26</v>
      </c>
      <c r="F675" t="s">
        <v>26</v>
      </c>
      <c r="G675" t="s">
        <v>5269</v>
      </c>
      <c r="H675" t="s">
        <v>26</v>
      </c>
      <c r="I675" t="s">
        <v>26</v>
      </c>
      <c r="J675" t="s">
        <v>26</v>
      </c>
      <c r="K675" t="s">
        <v>5270</v>
      </c>
      <c r="L675" t="s">
        <v>26</v>
      </c>
      <c r="M675" t="s">
        <v>26</v>
      </c>
      <c r="N675" t="s">
        <v>26</v>
      </c>
      <c r="O675" t="s">
        <v>26</v>
      </c>
      <c r="P675" t="s">
        <v>26</v>
      </c>
      <c r="Q675" t="s">
        <v>26</v>
      </c>
      <c r="R675" t="s">
        <v>2753</v>
      </c>
      <c r="S675" t="s">
        <v>5271</v>
      </c>
    </row>
    <row r="676" spans="1:19" x14ac:dyDescent="0.2">
      <c r="A676" t="s">
        <v>5272</v>
      </c>
      <c r="B676" t="s">
        <v>5272</v>
      </c>
      <c r="C676" t="s">
        <v>5273</v>
      </c>
      <c r="D676" t="s">
        <v>22</v>
      </c>
      <c r="E676" t="b">
        <v>0</v>
      </c>
      <c r="F676" t="s">
        <v>23</v>
      </c>
      <c r="G676" t="s">
        <v>5274</v>
      </c>
      <c r="H676" t="s">
        <v>188</v>
      </c>
      <c r="I676" t="s">
        <v>26</v>
      </c>
      <c r="J676" t="s">
        <v>27</v>
      </c>
      <c r="K676" t="s">
        <v>5275</v>
      </c>
      <c r="L676" t="s">
        <v>5276</v>
      </c>
      <c r="M676" t="s">
        <v>26</v>
      </c>
      <c r="N676" t="s">
        <v>26</v>
      </c>
      <c r="O676" t="s">
        <v>5277</v>
      </c>
      <c r="P676" t="s">
        <v>26</v>
      </c>
      <c r="Q676" s="3" t="d">
        <v>2026-01-10</v>
      </c>
      <c r="R676" t="s">
        <v>5278</v>
      </c>
      <c r="S676" t="s">
        <v>5279</v>
      </c>
    </row>
    <row r="677" spans="1:19" x14ac:dyDescent="0.2">
      <c r="A677" t="s">
        <v>5280</v>
      </c>
      <c r="B677" t="s">
        <v>26</v>
      </c>
      <c r="C677" t="s">
        <v>5281</v>
      </c>
      <c r="D677" t="s">
        <v>26</v>
      </c>
      <c r="E677" t="s">
        <v>26</v>
      </c>
      <c r="F677" t="s">
        <v>26</v>
      </c>
      <c r="G677" t="s">
        <v>5282</v>
      </c>
      <c r="H677" t="s">
        <v>26</v>
      </c>
      <c r="I677" t="s">
        <v>26</v>
      </c>
      <c r="J677" t="s">
        <v>26</v>
      </c>
      <c r="K677" t="s">
        <v>5283</v>
      </c>
      <c r="L677" t="s">
        <v>5280</v>
      </c>
      <c r="M677" t="s">
        <v>5284</v>
      </c>
      <c r="N677" t="s">
        <v>26</v>
      </c>
      <c r="O677" t="s">
        <v>26</v>
      </c>
      <c r="P677" t="s">
        <v>26</v>
      </c>
      <c r="Q677" t="s">
        <v>26</v>
      </c>
      <c r="R677" t="s">
        <v>5265</v>
      </c>
      <c r="S677" t="s">
        <v>5285</v>
      </c>
    </row>
    <row r="678" spans="1:19" x14ac:dyDescent="0.2">
      <c r="A678" t="s">
        <v>5286</v>
      </c>
      <c r="B678" t="s">
        <v>26</v>
      </c>
      <c r="C678" t="s">
        <v>5287</v>
      </c>
      <c r="D678" t="s">
        <v>26</v>
      </c>
      <c r="E678" t="s">
        <v>26</v>
      </c>
      <c r="F678" t="s">
        <v>26</v>
      </c>
      <c r="G678" t="s">
        <v>5288</v>
      </c>
      <c r="H678" t="s">
        <v>26</v>
      </c>
      <c r="I678" t="s">
        <v>26</v>
      </c>
      <c r="J678" t="s">
        <v>26</v>
      </c>
      <c r="K678" t="s">
        <v>26</v>
      </c>
      <c r="L678" t="s">
        <v>26</v>
      </c>
      <c r="M678" t="s">
        <v>26</v>
      </c>
      <c r="N678" t="s">
        <v>26</v>
      </c>
      <c r="O678" t="s">
        <v>26</v>
      </c>
      <c r="P678" t="s">
        <v>26</v>
      </c>
      <c r="Q678" t="s">
        <v>26</v>
      </c>
      <c r="R678" t="s">
        <v>2753</v>
      </c>
      <c r="S678" t="s">
        <v>5289</v>
      </c>
    </row>
    <row r="679" spans="1:19" x14ac:dyDescent="0.2">
      <c r="A679" t="s">
        <v>5290</v>
      </c>
      <c r="B679" t="s">
        <v>26</v>
      </c>
      <c r="C679" t="s">
        <v>5291</v>
      </c>
      <c r="D679" t="s">
        <v>26</v>
      </c>
      <c r="E679" t="s">
        <v>26</v>
      </c>
      <c r="F679" t="s">
        <v>26</v>
      </c>
      <c r="G679" t="s">
        <v>5292</v>
      </c>
      <c r="H679" t="s">
        <v>26</v>
      </c>
      <c r="I679" t="s">
        <v>26</v>
      </c>
      <c r="J679" t="s">
        <v>26</v>
      </c>
      <c r="K679" t="s">
        <v>5293</v>
      </c>
      <c r="L679" t="s">
        <v>26</v>
      </c>
      <c r="M679" t="s">
        <v>5294</v>
      </c>
      <c r="N679" t="s">
        <v>26</v>
      </c>
      <c r="O679" t="s">
        <v>26</v>
      </c>
      <c r="P679" t="s">
        <v>26</v>
      </c>
      <c r="Q679" t="s">
        <v>26</v>
      </c>
      <c r="R679" t="s">
        <v>2753</v>
      </c>
      <c r="S679" t="s">
        <v>5295</v>
      </c>
    </row>
    <row r="680" spans="1:19" x14ac:dyDescent="0.2">
      <c r="A680" t="s">
        <v>5296</v>
      </c>
      <c r="B680" t="s">
        <v>26</v>
      </c>
      <c r="C680" t="s">
        <v>5297</v>
      </c>
      <c r="D680" t="s">
        <v>26</v>
      </c>
      <c r="E680" t="s">
        <v>26</v>
      </c>
      <c r="F680" t="s">
        <v>26</v>
      </c>
      <c r="G680" t="s">
        <v>5298</v>
      </c>
      <c r="H680" t="s">
        <v>26</v>
      </c>
      <c r="I680" t="s">
        <v>26</v>
      </c>
      <c r="J680" t="s">
        <v>26</v>
      </c>
      <c r="K680" t="s">
        <v>5299</v>
      </c>
      <c r="L680" t="s">
        <v>5296</v>
      </c>
      <c r="M680" t="s">
        <v>26</v>
      </c>
      <c r="N680" t="s">
        <v>26</v>
      </c>
      <c r="O680" t="s">
        <v>26</v>
      </c>
      <c r="P680" t="s">
        <v>26</v>
      </c>
      <c r="Q680" t="s">
        <v>26</v>
      </c>
      <c r="R680" t="s">
        <v>2753</v>
      </c>
      <c r="S680" t="s">
        <v>5300</v>
      </c>
    </row>
    <row r="681" spans="1:19" x14ac:dyDescent="0.2">
      <c r="A681" t="s">
        <v>5301</v>
      </c>
      <c r="B681" t="s">
        <v>26</v>
      </c>
      <c r="C681" t="s">
        <v>5302</v>
      </c>
      <c r="D681" t="s">
        <v>26</v>
      </c>
      <c r="E681" t="s">
        <v>26</v>
      </c>
      <c r="F681" t="s">
        <v>26</v>
      </c>
      <c r="G681" t="s">
        <v>5303</v>
      </c>
      <c r="H681" t="s">
        <v>26</v>
      </c>
      <c r="I681" t="s">
        <v>26</v>
      </c>
      <c r="J681" t="s">
        <v>26</v>
      </c>
      <c r="K681" t="s">
        <v>5304</v>
      </c>
      <c r="L681" t="s">
        <v>5301</v>
      </c>
      <c r="M681" t="s">
        <v>26</v>
      </c>
      <c r="N681" t="s">
        <v>26</v>
      </c>
      <c r="O681" t="s">
        <v>26</v>
      </c>
      <c r="P681" t="s">
        <v>26</v>
      </c>
      <c r="Q681" t="s">
        <v>26</v>
      </c>
      <c r="R681" t="s">
        <v>2753</v>
      </c>
      <c r="S681" t="s">
        <v>5305</v>
      </c>
    </row>
    <row r="682" spans="1:19" x14ac:dyDescent="0.2">
      <c r="A682" t="s">
        <v>5306</v>
      </c>
      <c r="B682" t="s">
        <v>26</v>
      </c>
      <c r="C682" t="s">
        <v>5307</v>
      </c>
      <c r="D682" t="s">
        <v>26</v>
      </c>
      <c r="E682" t="s">
        <v>26</v>
      </c>
      <c r="F682" t="s">
        <v>26</v>
      </c>
      <c r="G682" t="s">
        <v>5308</v>
      </c>
      <c r="H682" t="s">
        <v>26</v>
      </c>
      <c r="I682" t="s">
        <v>26</v>
      </c>
      <c r="J682" t="s">
        <v>26</v>
      </c>
      <c r="K682" t="s">
        <v>5309</v>
      </c>
      <c r="L682" t="s">
        <v>5310</v>
      </c>
      <c r="M682" t="s">
        <v>5311</v>
      </c>
      <c r="N682" t="s">
        <v>26</v>
      </c>
      <c r="O682" t="s">
        <v>26</v>
      </c>
      <c r="P682" t="s">
        <v>26</v>
      </c>
      <c r="Q682" t="s">
        <v>26</v>
      </c>
      <c r="R682" t="s">
        <v>2753</v>
      </c>
      <c r="S682" t="s">
        <v>5312</v>
      </c>
    </row>
    <row r="683" spans="1:19" x14ac:dyDescent="0.2">
      <c r="A683" t="s">
        <v>5313</v>
      </c>
      <c r="B683" t="s">
        <v>26</v>
      </c>
      <c r="C683" t="s">
        <v>5314</v>
      </c>
      <c r="D683" t="s">
        <v>26</v>
      </c>
      <c r="E683" t="s">
        <v>26</v>
      </c>
      <c r="F683" t="s">
        <v>26</v>
      </c>
      <c r="G683" t="s">
        <v>5315</v>
      </c>
      <c r="H683" t="s">
        <v>26</v>
      </c>
      <c r="I683" t="s">
        <v>26</v>
      </c>
      <c r="J683" t="s">
        <v>26</v>
      </c>
      <c r="K683" t="s">
        <v>5316</v>
      </c>
      <c r="L683" t="s">
        <v>26</v>
      </c>
      <c r="M683" t="s">
        <v>5317</v>
      </c>
      <c r="N683" t="s">
        <v>26</v>
      </c>
      <c r="O683" t="s">
        <v>26</v>
      </c>
      <c r="P683" t="s">
        <v>26</v>
      </c>
      <c r="Q683" t="s">
        <v>26</v>
      </c>
      <c r="R683" t="s">
        <v>2753</v>
      </c>
      <c r="S683" t="s">
        <v>5318</v>
      </c>
    </row>
    <row r="684" spans="1:19" x14ac:dyDescent="0.2">
      <c r="A684" t="s">
        <v>5319</v>
      </c>
      <c r="B684" t="s">
        <v>26</v>
      </c>
      <c r="C684" t="s">
        <v>5320</v>
      </c>
      <c r="D684" t="s">
        <v>26</v>
      </c>
      <c r="E684" t="s">
        <v>26</v>
      </c>
      <c r="F684" t="s">
        <v>26</v>
      </c>
      <c r="G684" t="s">
        <v>5321</v>
      </c>
      <c r="H684" t="s">
        <v>26</v>
      </c>
      <c r="I684" t="s">
        <v>26</v>
      </c>
      <c r="J684" t="s">
        <v>26</v>
      </c>
      <c r="K684" t="s">
        <v>5322</v>
      </c>
      <c r="L684" t="s">
        <v>26</v>
      </c>
      <c r="M684" t="s">
        <v>5323</v>
      </c>
      <c r="N684" t="s">
        <v>26</v>
      </c>
      <c r="O684" t="s">
        <v>26</v>
      </c>
      <c r="P684" t="s">
        <v>26</v>
      </c>
      <c r="Q684" t="s">
        <v>26</v>
      </c>
      <c r="R684" t="s">
        <v>2753</v>
      </c>
      <c r="S684" t="s">
        <v>5324</v>
      </c>
    </row>
    <row r="685" spans="1:19" x14ac:dyDescent="0.2">
      <c r="A685" t="s">
        <v>5325</v>
      </c>
      <c r="B685" t="s">
        <v>5325</v>
      </c>
      <c r="C685" t="s">
        <v>5326</v>
      </c>
      <c r="D685" t="s">
        <v>22</v>
      </c>
      <c r="E685" t="b">
        <v>0</v>
      </c>
      <c r="F685" t="s">
        <v>23</v>
      </c>
      <c r="G685" t="s">
        <v>5327</v>
      </c>
      <c r="H685" t="s">
        <v>4332</v>
      </c>
      <c r="I685" s="2" t="d">
        <v>2021-01-01</v>
      </c>
      <c r="J685" t="s">
        <v>27</v>
      </c>
      <c r="K685" t="s">
        <v>5328</v>
      </c>
      <c r="L685" t="s">
        <v>5329</v>
      </c>
      <c r="M685" t="s">
        <v>5330</v>
      </c>
      <c r="N685" t="s">
        <v>26</v>
      </c>
      <c r="O685" t="s">
        <v>5331</v>
      </c>
      <c r="P685" t="s">
        <v>5332</v>
      </c>
      <c r="Q685" t="s">
        <v>54</v>
      </c>
      <c r="R685" t="s">
        <v>41</v>
      </c>
      <c r="S685" t="s">
        <v>5333</v>
      </c>
    </row>
    <row r="686" spans="1:19" x14ac:dyDescent="0.2">
      <c r="A686" t="s">
        <v>5334</v>
      </c>
      <c r="B686" t="s">
        <v>26</v>
      </c>
      <c r="C686" t="s">
        <v>5335</v>
      </c>
      <c r="D686" t="s">
        <v>26</v>
      </c>
      <c r="E686" t="s">
        <v>26</v>
      </c>
      <c r="F686" t="s">
        <v>26</v>
      </c>
      <c r="G686" t="s">
        <v>5336</v>
      </c>
      <c r="H686" t="s">
        <v>26</v>
      </c>
      <c r="I686" t="s">
        <v>26</v>
      </c>
      <c r="J686" t="s">
        <v>26</v>
      </c>
      <c r="K686" t="s">
        <v>5337</v>
      </c>
      <c r="L686" t="s">
        <v>5338</v>
      </c>
      <c r="M686" t="s">
        <v>26</v>
      </c>
      <c r="N686" t="s">
        <v>26</v>
      </c>
      <c r="O686" t="s">
        <v>26</v>
      </c>
      <c r="P686" t="s">
        <v>26</v>
      </c>
      <c r="Q686" t="s">
        <v>26</v>
      </c>
      <c r="R686" t="s">
        <v>5265</v>
      </c>
      <c r="S686" t="s">
        <v>5339</v>
      </c>
    </row>
    <row r="687" spans="1:19" x14ac:dyDescent="0.2">
      <c r="A687" t="s">
        <v>5340</v>
      </c>
      <c r="B687" t="s">
        <v>26</v>
      </c>
      <c r="C687" t="s">
        <v>5341</v>
      </c>
      <c r="D687" t="s">
        <v>26</v>
      </c>
      <c r="E687" t="s">
        <v>26</v>
      </c>
      <c r="F687" t="s">
        <v>26</v>
      </c>
      <c r="G687" t="s">
        <v>5342</v>
      </c>
      <c r="H687" t="s">
        <v>26</v>
      </c>
      <c r="I687" t="s">
        <v>26</v>
      </c>
      <c r="J687" t="s">
        <v>26</v>
      </c>
      <c r="K687" t="s">
        <v>5343</v>
      </c>
      <c r="L687" t="s">
        <v>5344</v>
      </c>
      <c r="M687" t="s">
        <v>26</v>
      </c>
      <c r="N687" t="s">
        <v>26</v>
      </c>
      <c r="O687" t="s">
        <v>26</v>
      </c>
      <c r="P687" t="s">
        <v>26</v>
      </c>
      <c r="Q687" t="s">
        <v>26</v>
      </c>
      <c r="R687" t="s">
        <v>2753</v>
      </c>
      <c r="S687" t="s">
        <v>5345</v>
      </c>
    </row>
    <row r="688" spans="1:19" x14ac:dyDescent="0.2">
      <c r="A688" t="s">
        <v>5346</v>
      </c>
      <c r="B688" t="s">
        <v>5346</v>
      </c>
      <c r="C688" t="s">
        <v>5347</v>
      </c>
      <c r="D688" t="s">
        <v>22</v>
      </c>
      <c r="E688" t="b">
        <v>0</v>
      </c>
      <c r="F688" t="s">
        <v>23</v>
      </c>
      <c r="G688" t="s">
        <v>5348</v>
      </c>
      <c r="H688" t="s">
        <v>5349</v>
      </c>
      <c r="I688" t="s">
        <v>26</v>
      </c>
      <c r="J688" t="s">
        <v>27</v>
      </c>
      <c r="K688" t="s">
        <v>5350</v>
      </c>
      <c r="L688" t="s">
        <v>5346</v>
      </c>
      <c r="M688" t="s">
        <v>5351</v>
      </c>
      <c r="N688" t="s">
        <v>26</v>
      </c>
      <c r="O688" t="s">
        <v>26</v>
      </c>
      <c r="P688" t="s">
        <v>26</v>
      </c>
      <c r="Q688" s="3" t="d">
        <v>2026-01-10</v>
      </c>
      <c r="R688" t="s">
        <v>2753</v>
      </c>
      <c r="S688" t="s">
        <v>5352</v>
      </c>
    </row>
    <row r="689" spans="1:19" x14ac:dyDescent="0.2">
      <c r="A689" t="s">
        <v>5353</v>
      </c>
      <c r="B689" t="s">
        <v>26</v>
      </c>
      <c r="C689" t="s">
        <v>5354</v>
      </c>
      <c r="D689" t="s">
        <v>26</v>
      </c>
      <c r="E689" t="s">
        <v>26</v>
      </c>
      <c r="F689" t="s">
        <v>26</v>
      </c>
      <c r="G689" t="s">
        <v>5355</v>
      </c>
      <c r="H689" t="s">
        <v>26</v>
      </c>
      <c r="I689" t="s">
        <v>26</v>
      </c>
      <c r="J689" t="s">
        <v>26</v>
      </c>
      <c r="K689" t="s">
        <v>5356</v>
      </c>
      <c r="L689" t="s">
        <v>26</v>
      </c>
      <c r="M689" t="s">
        <v>5357</v>
      </c>
      <c r="N689" t="s">
        <v>26</v>
      </c>
      <c r="O689" t="s">
        <v>26</v>
      </c>
      <c r="P689" t="s">
        <v>26</v>
      </c>
      <c r="Q689" t="s">
        <v>26</v>
      </c>
      <c r="R689" t="s">
        <v>2753</v>
      </c>
      <c r="S689" t="s">
        <v>5358</v>
      </c>
    </row>
    <row r="690" spans="1:19" x14ac:dyDescent="0.2">
      <c r="A690" t="s">
        <v>5359</v>
      </c>
      <c r="B690" t="s">
        <v>5360</v>
      </c>
      <c r="C690" t="s">
        <v>5361</v>
      </c>
      <c r="D690" t="s">
        <v>22</v>
      </c>
      <c r="E690" t="b">
        <v>1</v>
      </c>
      <c r="F690" t="s">
        <v>23</v>
      </c>
      <c r="G690" t="s">
        <v>5362</v>
      </c>
      <c r="H690" t="s">
        <v>2744</v>
      </c>
      <c r="I690" s="2" t="d">
        <v>2023-01-01</v>
      </c>
      <c r="J690" t="s">
        <v>27</v>
      </c>
      <c r="K690" t="s">
        <v>5363</v>
      </c>
      <c r="L690" t="s">
        <v>5364</v>
      </c>
      <c r="M690" t="s">
        <v>5365</v>
      </c>
      <c r="N690" t="s">
        <v>26</v>
      </c>
      <c r="O690" t="s">
        <v>5366</v>
      </c>
      <c r="P690" t="s">
        <v>26</v>
      </c>
      <c r="Q690" s="1" t="d">
        <v>1950-11-01</v>
      </c>
      <c r="R690" t="s">
        <v>1082</v>
      </c>
      <c r="S690" t="s">
        <v>5367</v>
      </c>
    </row>
    <row r="691" spans="1:19" x14ac:dyDescent="0.2">
      <c r="A691" t="s">
        <v>5368</v>
      </c>
      <c r="B691" t="s">
        <v>5369</v>
      </c>
      <c r="C691" t="s">
        <v>5370</v>
      </c>
      <c r="D691" t="s">
        <v>22</v>
      </c>
      <c r="E691" t="b">
        <v>0</v>
      </c>
      <c r="F691" t="s">
        <v>23</v>
      </c>
      <c r="G691" t="s">
        <v>5371</v>
      </c>
      <c r="H691" t="s">
        <v>634</v>
      </c>
      <c r="I691" t="s">
        <v>26</v>
      </c>
      <c r="J691" t="s">
        <v>27</v>
      </c>
      <c r="K691" t="s">
        <v>5372</v>
      </c>
      <c r="L691" t="s">
        <v>5373</v>
      </c>
      <c r="M691" t="s">
        <v>5374</v>
      </c>
      <c r="N691" t="s">
        <v>5375</v>
      </c>
      <c r="O691" t="s">
        <v>26</v>
      </c>
      <c r="P691" t="s">
        <v>26</v>
      </c>
      <c r="Q691" s="1" t="d">
        <v>1950-11-01</v>
      </c>
      <c r="R691" t="s">
        <v>5376</v>
      </c>
      <c r="S691" t="s">
        <v>5377</v>
      </c>
    </row>
    <row r="692" spans="1:19" x14ac:dyDescent="0.2">
      <c r="A692" t="s">
        <v>5378</v>
      </c>
      <c r="B692" t="s">
        <v>26</v>
      </c>
      <c r="C692" t="s">
        <v>5379</v>
      </c>
      <c r="D692" t="s">
        <v>26</v>
      </c>
      <c r="E692" t="s">
        <v>26</v>
      </c>
      <c r="F692" t="s">
        <v>26</v>
      </c>
      <c r="G692" t="s">
        <v>5380</v>
      </c>
      <c r="H692" t="s">
        <v>26</v>
      </c>
      <c r="I692" t="s">
        <v>26</v>
      </c>
      <c r="J692" t="s">
        <v>26</v>
      </c>
      <c r="K692" t="s">
        <v>26</v>
      </c>
      <c r="L692" t="s">
        <v>26</v>
      </c>
      <c r="M692" t="s">
        <v>26</v>
      </c>
      <c r="N692" t="s">
        <v>26</v>
      </c>
      <c r="O692" t="s">
        <v>26</v>
      </c>
      <c r="P692" t="s">
        <v>26</v>
      </c>
      <c r="Q692" t="s">
        <v>26</v>
      </c>
      <c r="R692" t="s">
        <v>1013</v>
      </c>
      <c r="S692" t="s">
        <v>5381</v>
      </c>
    </row>
    <row r="693" spans="1:19" x14ac:dyDescent="0.2">
      <c r="A693" t="s">
        <v>5382</v>
      </c>
      <c r="B693" t="s">
        <v>5382</v>
      </c>
      <c r="C693" t="s">
        <v>5383</v>
      </c>
      <c r="D693" t="s">
        <v>22</v>
      </c>
      <c r="E693" t="b">
        <v>0</v>
      </c>
      <c r="F693" t="s">
        <v>23</v>
      </c>
      <c r="G693" t="s">
        <v>5384</v>
      </c>
      <c r="H693" t="s">
        <v>5385</v>
      </c>
      <c r="I693" t="s">
        <v>26</v>
      </c>
      <c r="J693" t="s">
        <v>27</v>
      </c>
      <c r="K693" t="s">
        <v>5386</v>
      </c>
      <c r="L693" t="s">
        <v>5387</v>
      </c>
      <c r="M693" t="s">
        <v>26</v>
      </c>
      <c r="N693" t="s">
        <v>26</v>
      </c>
      <c r="O693" t="s">
        <v>5388</v>
      </c>
      <c r="P693" t="s">
        <v>26</v>
      </c>
      <c r="Q693" t="s">
        <v>113</v>
      </c>
      <c r="R693" t="s">
        <v>2748</v>
      </c>
      <c r="S693" t="s">
        <v>5389</v>
      </c>
    </row>
    <row r="694" spans="1:19" x14ac:dyDescent="0.2">
      <c r="A694" t="s">
        <v>5390</v>
      </c>
      <c r="B694" t="s">
        <v>26</v>
      </c>
      <c r="C694" t="s">
        <v>5391</v>
      </c>
      <c r="D694" t="s">
        <v>26</v>
      </c>
      <c r="E694" t="s">
        <v>26</v>
      </c>
      <c r="F694" t="s">
        <v>26</v>
      </c>
      <c r="G694" t="s">
        <v>5392</v>
      </c>
      <c r="H694" t="s">
        <v>26</v>
      </c>
      <c r="I694" t="s">
        <v>26</v>
      </c>
      <c r="J694" t="s">
        <v>26</v>
      </c>
      <c r="K694" t="s">
        <v>5393</v>
      </c>
      <c r="L694" t="s">
        <v>5390</v>
      </c>
      <c r="M694" t="s">
        <v>5394</v>
      </c>
      <c r="N694" t="s">
        <v>26</v>
      </c>
      <c r="O694" t="s">
        <v>26</v>
      </c>
      <c r="P694" t="s">
        <v>26</v>
      </c>
      <c r="Q694" t="s">
        <v>26</v>
      </c>
      <c r="R694" t="s">
        <v>5395</v>
      </c>
      <c r="S694" t="s">
        <v>5396</v>
      </c>
    </row>
    <row r="695" spans="1:19" x14ac:dyDescent="0.2">
      <c r="A695" t="s">
        <v>5397</v>
      </c>
      <c r="B695" t="s">
        <v>26</v>
      </c>
      <c r="C695" t="s">
        <v>5398</v>
      </c>
      <c r="D695" t="s">
        <v>26</v>
      </c>
      <c r="E695" t="s">
        <v>26</v>
      </c>
      <c r="F695" t="s">
        <v>26</v>
      </c>
      <c r="G695" t="s">
        <v>5399</v>
      </c>
      <c r="H695" t="s">
        <v>26</v>
      </c>
      <c r="I695" t="s">
        <v>26</v>
      </c>
      <c r="J695" t="s">
        <v>26</v>
      </c>
      <c r="K695" t="s">
        <v>5400</v>
      </c>
      <c r="L695" t="s">
        <v>26</v>
      </c>
      <c r="M695" t="s">
        <v>26</v>
      </c>
      <c r="N695" t="s">
        <v>5401</v>
      </c>
      <c r="O695" t="s">
        <v>26</v>
      </c>
      <c r="P695" t="s">
        <v>26</v>
      </c>
      <c r="Q695" t="s">
        <v>26</v>
      </c>
      <c r="R695" t="s">
        <v>2748</v>
      </c>
      <c r="S695" t="s">
        <v>5402</v>
      </c>
    </row>
    <row r="696" spans="1:19" x14ac:dyDescent="0.2">
      <c r="A696" t="s">
        <v>5403</v>
      </c>
      <c r="B696" t="s">
        <v>26</v>
      </c>
      <c r="C696" t="s">
        <v>5404</v>
      </c>
      <c r="D696" t="s">
        <v>26</v>
      </c>
      <c r="E696" t="s">
        <v>26</v>
      </c>
      <c r="F696" t="s">
        <v>26</v>
      </c>
      <c r="G696" t="s">
        <v>5405</v>
      </c>
      <c r="H696" t="s">
        <v>26</v>
      </c>
      <c r="I696" t="s">
        <v>26</v>
      </c>
      <c r="J696" t="s">
        <v>26</v>
      </c>
      <c r="K696" t="s">
        <v>26</v>
      </c>
      <c r="L696" t="s">
        <v>26</v>
      </c>
      <c r="M696" t="s">
        <v>26</v>
      </c>
      <c r="N696" t="s">
        <v>26</v>
      </c>
      <c r="O696" t="s">
        <v>26</v>
      </c>
      <c r="P696" t="s">
        <v>26</v>
      </c>
      <c r="Q696" t="s">
        <v>26</v>
      </c>
      <c r="R696" t="s">
        <v>2748</v>
      </c>
      <c r="S696" t="s">
        <v>5406</v>
      </c>
    </row>
    <row r="697" spans="1:19" x14ac:dyDescent="0.2">
      <c r="A697" t="s">
        <v>5407</v>
      </c>
      <c r="B697" t="s">
        <v>26</v>
      </c>
      <c r="C697" t="s">
        <v>5408</v>
      </c>
      <c r="D697" t="s">
        <v>26</v>
      </c>
      <c r="E697" t="s">
        <v>26</v>
      </c>
      <c r="F697" t="s">
        <v>26</v>
      </c>
      <c r="G697" t="s">
        <v>5409</v>
      </c>
      <c r="H697" t="s">
        <v>26</v>
      </c>
      <c r="I697" t="s">
        <v>26</v>
      </c>
      <c r="J697" t="s">
        <v>26</v>
      </c>
      <c r="K697" t="s">
        <v>5410</v>
      </c>
      <c r="L697" t="s">
        <v>5411</v>
      </c>
      <c r="M697" t="s">
        <v>5412</v>
      </c>
      <c r="N697" t="s">
        <v>26</v>
      </c>
      <c r="O697" t="s">
        <v>26</v>
      </c>
      <c r="P697" t="s">
        <v>26</v>
      </c>
      <c r="Q697" t="s">
        <v>26</v>
      </c>
      <c r="R697" t="s">
        <v>2748</v>
      </c>
      <c r="S697" t="s">
        <v>5413</v>
      </c>
    </row>
    <row r="698" spans="1:19" x14ac:dyDescent="0.2">
      <c r="A698" t="s">
        <v>5414</v>
      </c>
      <c r="B698" t="s">
        <v>26</v>
      </c>
      <c r="C698" t="s">
        <v>5415</v>
      </c>
      <c r="D698" t="s">
        <v>26</v>
      </c>
      <c r="E698" t="s">
        <v>26</v>
      </c>
      <c r="F698" t="s">
        <v>26</v>
      </c>
      <c r="G698" t="s">
        <v>5416</v>
      </c>
      <c r="H698" t="s">
        <v>26</v>
      </c>
      <c r="I698" t="s">
        <v>26</v>
      </c>
      <c r="J698" t="s">
        <v>26</v>
      </c>
      <c r="K698" t="s">
        <v>5417</v>
      </c>
      <c r="L698" t="s">
        <v>5414</v>
      </c>
      <c r="M698" t="s">
        <v>5418</v>
      </c>
      <c r="N698" t="s">
        <v>26</v>
      </c>
      <c r="O698" t="s">
        <v>26</v>
      </c>
      <c r="P698" t="s">
        <v>26</v>
      </c>
      <c r="Q698" t="s">
        <v>26</v>
      </c>
      <c r="R698" t="s">
        <v>5395</v>
      </c>
      <c r="S698" t="s">
        <v>5419</v>
      </c>
    </row>
    <row r="699" spans="1:19" x14ac:dyDescent="0.2">
      <c r="A699" t="s">
        <v>5420</v>
      </c>
      <c r="B699" t="s">
        <v>26</v>
      </c>
      <c r="C699" t="s">
        <v>5421</v>
      </c>
      <c r="D699" t="s">
        <v>26</v>
      </c>
      <c r="E699" t="s">
        <v>26</v>
      </c>
      <c r="F699" t="s">
        <v>26</v>
      </c>
      <c r="G699" t="s">
        <v>5422</v>
      </c>
      <c r="H699" t="s">
        <v>26</v>
      </c>
      <c r="I699" t="s">
        <v>26</v>
      </c>
      <c r="J699" t="s">
        <v>26</v>
      </c>
      <c r="K699" t="s">
        <v>5423</v>
      </c>
      <c r="L699" t="s">
        <v>5420</v>
      </c>
      <c r="M699" t="s">
        <v>26</v>
      </c>
      <c r="N699" t="s">
        <v>26</v>
      </c>
      <c r="O699" t="s">
        <v>26</v>
      </c>
      <c r="P699" t="s">
        <v>26</v>
      </c>
      <c r="Q699" t="s">
        <v>26</v>
      </c>
      <c r="R699" t="s">
        <v>2748</v>
      </c>
      <c r="S699" t="s">
        <v>5424</v>
      </c>
    </row>
    <row r="700" spans="1:19" x14ac:dyDescent="0.2">
      <c r="A700" t="s">
        <v>5425</v>
      </c>
      <c r="B700" t="s">
        <v>26</v>
      </c>
      <c r="C700" t="s">
        <v>5426</v>
      </c>
      <c r="D700" t="s">
        <v>26</v>
      </c>
      <c r="E700" t="s">
        <v>26</v>
      </c>
      <c r="F700" t="s">
        <v>26</v>
      </c>
      <c r="G700" t="s">
        <v>5427</v>
      </c>
      <c r="H700" t="s">
        <v>26</v>
      </c>
      <c r="I700" t="s">
        <v>26</v>
      </c>
      <c r="J700" t="s">
        <v>26</v>
      </c>
      <c r="K700" t="s">
        <v>26</v>
      </c>
      <c r="L700" t="s">
        <v>26</v>
      </c>
      <c r="M700" t="s">
        <v>26</v>
      </c>
      <c r="N700" t="s">
        <v>26</v>
      </c>
      <c r="O700" t="s">
        <v>26</v>
      </c>
      <c r="P700" t="s">
        <v>26</v>
      </c>
      <c r="Q700" t="s">
        <v>26</v>
      </c>
      <c r="R700" t="s">
        <v>2748</v>
      </c>
      <c r="S700" t="s">
        <v>5428</v>
      </c>
    </row>
    <row r="701" spans="1:19" x14ac:dyDescent="0.2">
      <c r="A701" t="s">
        <v>5429</v>
      </c>
      <c r="B701" t="s">
        <v>26</v>
      </c>
      <c r="C701" t="s">
        <v>5430</v>
      </c>
      <c r="D701" t="s">
        <v>26</v>
      </c>
      <c r="E701" t="s">
        <v>26</v>
      </c>
      <c r="F701" t="s">
        <v>26</v>
      </c>
      <c r="G701" t="s">
        <v>5431</v>
      </c>
      <c r="H701" t="s">
        <v>26</v>
      </c>
      <c r="I701" t="s">
        <v>26</v>
      </c>
      <c r="J701" t="s">
        <v>26</v>
      </c>
      <c r="K701" t="s">
        <v>5432</v>
      </c>
      <c r="L701" t="s">
        <v>5429</v>
      </c>
      <c r="M701" t="s">
        <v>26</v>
      </c>
      <c r="N701" t="s">
        <v>26</v>
      </c>
      <c r="O701" t="s">
        <v>26</v>
      </c>
      <c r="P701" t="s">
        <v>26</v>
      </c>
      <c r="Q701" t="s">
        <v>26</v>
      </c>
      <c r="R701" t="s">
        <v>2748</v>
      </c>
      <c r="S701" t="s">
        <v>5433</v>
      </c>
    </row>
    <row r="702" spans="1:19" x14ac:dyDescent="0.2">
      <c r="A702" t="s">
        <v>5434</v>
      </c>
      <c r="B702" t="s">
        <v>5434</v>
      </c>
      <c r="C702" t="s">
        <v>5435</v>
      </c>
      <c r="D702" t="s">
        <v>22</v>
      </c>
      <c r="E702" t="b">
        <v>0</v>
      </c>
      <c r="F702" t="s">
        <v>23</v>
      </c>
      <c r="G702" t="s">
        <v>5436</v>
      </c>
      <c r="H702" t="s">
        <v>5437</v>
      </c>
      <c r="I702" t="s">
        <v>26</v>
      </c>
      <c r="J702" t="s">
        <v>27</v>
      </c>
      <c r="K702" t="s">
        <v>5438</v>
      </c>
      <c r="L702" t="s">
        <v>5439</v>
      </c>
      <c r="M702" t="s">
        <v>5440</v>
      </c>
      <c r="N702" t="s">
        <v>26</v>
      </c>
      <c r="O702" t="s">
        <v>5441</v>
      </c>
      <c r="P702" t="s">
        <v>26</v>
      </c>
      <c r="Q702" s="3" t="d">
        <v>2026-01-10</v>
      </c>
      <c r="R702" t="s">
        <v>2748</v>
      </c>
      <c r="S702" t="s">
        <v>5442</v>
      </c>
    </row>
    <row r="703" spans="1:19" x14ac:dyDescent="0.2">
      <c r="A703" t="s">
        <v>5443</v>
      </c>
      <c r="B703" t="s">
        <v>26</v>
      </c>
      <c r="C703" t="s">
        <v>5444</v>
      </c>
      <c r="D703" t="s">
        <v>26</v>
      </c>
      <c r="E703" t="s">
        <v>26</v>
      </c>
      <c r="F703" t="s">
        <v>26</v>
      </c>
      <c r="G703" t="s">
        <v>5445</v>
      </c>
      <c r="H703" t="s">
        <v>26</v>
      </c>
      <c r="I703" t="s">
        <v>26</v>
      </c>
      <c r="J703" t="s">
        <v>26</v>
      </c>
      <c r="K703" t="s">
        <v>26</v>
      </c>
      <c r="L703" t="s">
        <v>26</v>
      </c>
      <c r="M703" t="s">
        <v>26</v>
      </c>
      <c r="N703" t="s">
        <v>26</v>
      </c>
      <c r="O703" t="s">
        <v>26</v>
      </c>
      <c r="P703" t="s">
        <v>26</v>
      </c>
      <c r="Q703" t="s">
        <v>26</v>
      </c>
      <c r="R703" t="s">
        <v>2748</v>
      </c>
      <c r="S703" t="s">
        <v>5446</v>
      </c>
    </row>
    <row r="704" spans="1:19" x14ac:dyDescent="0.2">
      <c r="A704" t="s">
        <v>5447</v>
      </c>
      <c r="B704" t="s">
        <v>26</v>
      </c>
      <c r="C704" t="s">
        <v>5448</v>
      </c>
      <c r="D704" t="s">
        <v>26</v>
      </c>
      <c r="E704" t="s">
        <v>26</v>
      </c>
      <c r="F704" t="s">
        <v>26</v>
      </c>
      <c r="G704" t="s">
        <v>5449</v>
      </c>
      <c r="H704" t="s">
        <v>26</v>
      </c>
      <c r="I704" t="s">
        <v>26</v>
      </c>
      <c r="J704" t="s">
        <v>26</v>
      </c>
      <c r="K704" t="s">
        <v>5450</v>
      </c>
      <c r="L704" t="s">
        <v>1434</v>
      </c>
      <c r="M704" t="s">
        <v>26</v>
      </c>
      <c r="N704" t="s">
        <v>26</v>
      </c>
      <c r="O704" t="s">
        <v>26</v>
      </c>
      <c r="P704" t="s">
        <v>26</v>
      </c>
      <c r="Q704" t="s">
        <v>26</v>
      </c>
      <c r="R704" t="s">
        <v>2748</v>
      </c>
      <c r="S704" t="s">
        <v>5451</v>
      </c>
    </row>
    <row r="705" spans="1:19" x14ac:dyDescent="0.2">
      <c r="A705" t="s">
        <v>5452</v>
      </c>
      <c r="B705" t="s">
        <v>5452</v>
      </c>
      <c r="C705" t="s">
        <v>5453</v>
      </c>
      <c r="D705" t="s">
        <v>22</v>
      </c>
      <c r="E705" t="b">
        <v>0</v>
      </c>
      <c r="F705" t="s">
        <v>23</v>
      </c>
      <c r="G705" t="s">
        <v>5454</v>
      </c>
      <c r="H705" t="s">
        <v>246</v>
      </c>
      <c r="I705" t="s">
        <v>26</v>
      </c>
      <c r="J705" t="s">
        <v>27</v>
      </c>
      <c r="K705" t="s">
        <v>5455</v>
      </c>
      <c r="L705" t="s">
        <v>5452</v>
      </c>
      <c r="M705" t="s">
        <v>26</v>
      </c>
      <c r="N705" t="s">
        <v>5456</v>
      </c>
      <c r="O705" t="s">
        <v>5457</v>
      </c>
      <c r="P705" t="s">
        <v>26</v>
      </c>
      <c r="Q705" s="1" t="d">
        <v>1950-11-01</v>
      </c>
      <c r="R705" t="s">
        <v>2753</v>
      </c>
      <c r="S705" t="s">
        <v>5458</v>
      </c>
    </row>
    <row r="706" spans="1:19" x14ac:dyDescent="0.2">
      <c r="A706" t="s">
        <v>5459</v>
      </c>
      <c r="B706" t="s">
        <v>26</v>
      </c>
      <c r="C706" t="s">
        <v>5460</v>
      </c>
      <c r="D706" t="s">
        <v>26</v>
      </c>
      <c r="E706" t="s">
        <v>26</v>
      </c>
      <c r="F706" t="s">
        <v>26</v>
      </c>
      <c r="G706" t="s">
        <v>5461</v>
      </c>
      <c r="H706" t="s">
        <v>26</v>
      </c>
      <c r="I706" t="s">
        <v>26</v>
      </c>
      <c r="J706" t="s">
        <v>26</v>
      </c>
      <c r="K706" t="s">
        <v>5462</v>
      </c>
      <c r="L706" t="s">
        <v>26</v>
      </c>
      <c r="M706" t="s">
        <v>5463</v>
      </c>
      <c r="N706" t="s">
        <v>26</v>
      </c>
      <c r="O706" t="s">
        <v>26</v>
      </c>
      <c r="P706" t="s">
        <v>26</v>
      </c>
      <c r="Q706" t="s">
        <v>26</v>
      </c>
      <c r="R706" t="s">
        <v>2753</v>
      </c>
      <c r="S706" t="s">
        <v>5464</v>
      </c>
    </row>
    <row r="707" spans="1:19" x14ac:dyDescent="0.2">
      <c r="A707" t="s">
        <v>5465</v>
      </c>
      <c r="B707" t="s">
        <v>5465</v>
      </c>
      <c r="C707" t="s">
        <v>5466</v>
      </c>
      <c r="D707" t="s">
        <v>22</v>
      </c>
      <c r="E707" t="b">
        <v>0</v>
      </c>
      <c r="F707" t="s">
        <v>26</v>
      </c>
      <c r="G707" t="s">
        <v>5467</v>
      </c>
      <c r="H707" t="s">
        <v>26</v>
      </c>
      <c r="I707" t="s">
        <v>26</v>
      </c>
      <c r="J707" t="s">
        <v>27</v>
      </c>
      <c r="K707" t="s">
        <v>5468</v>
      </c>
      <c r="L707" t="s">
        <v>26</v>
      </c>
      <c r="M707" t="s">
        <v>26</v>
      </c>
      <c r="N707" t="s">
        <v>26</v>
      </c>
      <c r="O707" t="s">
        <v>26</v>
      </c>
      <c r="P707" t="s">
        <v>26</v>
      </c>
      <c r="Q707" t="s">
        <v>26</v>
      </c>
      <c r="R707" t="s">
        <v>2753</v>
      </c>
      <c r="S707" t="s">
        <v>5469</v>
      </c>
    </row>
    <row r="708" spans="1:19" x14ac:dyDescent="0.2">
      <c r="A708" t="s">
        <v>5470</v>
      </c>
      <c r="B708" t="s">
        <v>5470</v>
      </c>
      <c r="C708" t="s">
        <v>5471</v>
      </c>
      <c r="D708" t="s">
        <v>22</v>
      </c>
      <c r="E708" t="b">
        <v>0</v>
      </c>
      <c r="F708" t="s">
        <v>23</v>
      </c>
      <c r="G708" t="s">
        <v>5472</v>
      </c>
      <c r="H708" t="s">
        <v>137</v>
      </c>
      <c r="I708" t="s">
        <v>26</v>
      </c>
      <c r="J708" t="s">
        <v>27</v>
      </c>
      <c r="K708" t="s">
        <v>5473</v>
      </c>
      <c r="L708" t="s">
        <v>5474</v>
      </c>
      <c r="M708" t="s">
        <v>26</v>
      </c>
      <c r="N708" t="s">
        <v>26</v>
      </c>
      <c r="O708" t="s">
        <v>26</v>
      </c>
      <c r="P708" t="s">
        <v>26</v>
      </c>
      <c r="Q708" s="3" t="d">
        <v>2026-01-10</v>
      </c>
      <c r="R708" t="s">
        <v>3672</v>
      </c>
      <c r="S708" t="s">
        <v>5475</v>
      </c>
    </row>
    <row r="709" spans="1:19" x14ac:dyDescent="0.2">
      <c r="A709" t="s">
        <v>5476</v>
      </c>
      <c r="B709" t="s">
        <v>5476</v>
      </c>
      <c r="C709" t="s">
        <v>5477</v>
      </c>
      <c r="D709" t="s">
        <v>22</v>
      </c>
      <c r="E709" t="b">
        <v>0</v>
      </c>
      <c r="F709" t="s">
        <v>23</v>
      </c>
      <c r="G709" t="s">
        <v>5478</v>
      </c>
      <c r="H709" t="s">
        <v>2749</v>
      </c>
      <c r="I709" s="2" t="d">
        <v>2020-01-03</v>
      </c>
      <c r="J709" t="s">
        <v>27</v>
      </c>
      <c r="K709" t="s">
        <v>5479</v>
      </c>
      <c r="L709" t="s">
        <v>5480</v>
      </c>
      <c r="M709" t="s">
        <v>5481</v>
      </c>
      <c r="N709" t="s">
        <v>26</v>
      </c>
      <c r="O709" t="s">
        <v>5482</v>
      </c>
      <c r="P709">
        <v>41792012474</v>
      </c>
      <c r="Q709" s="1" t="d">
        <v>1950-11-01</v>
      </c>
      <c r="R709" t="s">
        <v>41</v>
      </c>
      <c r="S709" t="s">
        <v>5483</v>
      </c>
    </row>
    <row r="710" spans="1:19" x14ac:dyDescent="0.2">
      <c r="A710" t="s">
        <v>5484</v>
      </c>
      <c r="B710" t="s">
        <v>5484</v>
      </c>
      <c r="C710" t="s">
        <v>5485</v>
      </c>
      <c r="D710" t="s">
        <v>22</v>
      </c>
      <c r="E710" t="b">
        <v>0</v>
      </c>
      <c r="F710" t="s">
        <v>23</v>
      </c>
      <c r="G710" t="s">
        <v>5486</v>
      </c>
      <c r="H710" t="s">
        <v>5487</v>
      </c>
      <c r="I710" t="s">
        <v>26</v>
      </c>
      <c r="J710" t="s">
        <v>27</v>
      </c>
      <c r="K710" t="s">
        <v>5488</v>
      </c>
      <c r="L710" t="s">
        <v>5484</v>
      </c>
      <c r="M710" t="s">
        <v>5489</v>
      </c>
      <c r="N710" t="s">
        <v>26</v>
      </c>
      <c r="O710" t="s">
        <v>26</v>
      </c>
      <c r="P710" t="s">
        <v>26</v>
      </c>
      <c r="Q710" s="3" t="d">
        <v>2026-01-10</v>
      </c>
      <c r="R710" t="s">
        <v>5490</v>
      </c>
      <c r="S710" t="s">
        <v>5491</v>
      </c>
    </row>
    <row r="711" spans="1:19" x14ac:dyDescent="0.2">
      <c r="A711" t="s">
        <v>5492</v>
      </c>
      <c r="B711" t="s">
        <v>5493</v>
      </c>
      <c r="C711" t="s">
        <v>5494</v>
      </c>
      <c r="D711" t="s">
        <v>22</v>
      </c>
      <c r="E711" t="b">
        <v>0</v>
      </c>
      <c r="F711" t="s">
        <v>23</v>
      </c>
      <c r="G711" t="s">
        <v>5495</v>
      </c>
      <c r="H711" t="s">
        <v>188</v>
      </c>
      <c r="I711" t="s">
        <v>26</v>
      </c>
      <c r="J711" t="s">
        <v>27</v>
      </c>
      <c r="K711" t="s">
        <v>5496</v>
      </c>
      <c r="L711" t="s">
        <v>5497</v>
      </c>
      <c r="M711" t="s">
        <v>5498</v>
      </c>
      <c r="N711" t="s">
        <v>5499</v>
      </c>
      <c r="O711" t="s">
        <v>5500</v>
      </c>
      <c r="P711" t="s">
        <v>26</v>
      </c>
      <c r="Q711" s="3" t="d">
        <v>2026-01-10</v>
      </c>
      <c r="R711" t="s">
        <v>5501</v>
      </c>
      <c r="S711" t="s">
        <v>5502</v>
      </c>
    </row>
    <row r="712" spans="1:19" x14ac:dyDescent="0.2">
      <c r="A712" t="s">
        <v>5503</v>
      </c>
      <c r="B712" t="s">
        <v>5503</v>
      </c>
      <c r="C712" t="s">
        <v>5504</v>
      </c>
      <c r="D712" t="s">
        <v>22</v>
      </c>
      <c r="E712" t="b">
        <v>0</v>
      </c>
      <c r="F712" t="s">
        <v>23</v>
      </c>
      <c r="G712" t="s">
        <v>5505</v>
      </c>
      <c r="H712" t="s">
        <v>137</v>
      </c>
      <c r="I712" s="2" t="d">
        <v>2016-01-01</v>
      </c>
      <c r="J712" t="s">
        <v>27</v>
      </c>
      <c r="K712" t="s">
        <v>5506</v>
      </c>
      <c r="L712" t="s">
        <v>5503</v>
      </c>
      <c r="M712" t="s">
        <v>26</v>
      </c>
      <c r="N712" t="s">
        <v>5507</v>
      </c>
      <c r="O712" t="s">
        <v>5508</v>
      </c>
      <c r="P712" t="s">
        <v>5509</v>
      </c>
      <c r="Q712" t="s">
        <v>621</v>
      </c>
      <c r="R712" t="s">
        <v>41</v>
      </c>
      <c r="S712" t="s">
        <v>5510</v>
      </c>
    </row>
    <row r="713" spans="1:19" x14ac:dyDescent="0.2">
      <c r="A713" t="s">
        <v>5511</v>
      </c>
      <c r="B713" t="s">
        <v>26</v>
      </c>
      <c r="C713" t="s">
        <v>5512</v>
      </c>
      <c r="D713" t="s">
        <v>26</v>
      </c>
      <c r="E713" t="s">
        <v>26</v>
      </c>
      <c r="F713" t="s">
        <v>26</v>
      </c>
      <c r="G713" t="s">
        <v>5513</v>
      </c>
      <c r="H713" t="s">
        <v>26</v>
      </c>
      <c r="I713" t="s">
        <v>26</v>
      </c>
      <c r="J713" t="s">
        <v>26</v>
      </c>
      <c r="K713" t="s">
        <v>5514</v>
      </c>
      <c r="L713" t="s">
        <v>5515</v>
      </c>
      <c r="M713" t="s">
        <v>5516</v>
      </c>
      <c r="N713" t="s">
        <v>26</v>
      </c>
      <c r="O713" t="s">
        <v>26</v>
      </c>
      <c r="P713" t="s">
        <v>26</v>
      </c>
      <c r="Q713" t="s">
        <v>26</v>
      </c>
      <c r="R713" t="s">
        <v>1263</v>
      </c>
      <c r="S713" t="s">
        <v>5517</v>
      </c>
    </row>
    <row r="714" spans="1:19" x14ac:dyDescent="0.2">
      <c r="A714" t="s">
        <v>5518</v>
      </c>
      <c r="B714" t="s">
        <v>26</v>
      </c>
      <c r="C714" t="s">
        <v>5519</v>
      </c>
      <c r="D714" t="s">
        <v>26</v>
      </c>
      <c r="E714" t="s">
        <v>26</v>
      </c>
      <c r="F714" t="s">
        <v>26</v>
      </c>
      <c r="G714" t="s">
        <v>5520</v>
      </c>
      <c r="H714" t="s">
        <v>26</v>
      </c>
      <c r="I714" t="s">
        <v>26</v>
      </c>
      <c r="J714" t="s">
        <v>26</v>
      </c>
      <c r="K714" t="s">
        <v>5521</v>
      </c>
      <c r="L714" t="s">
        <v>5522</v>
      </c>
      <c r="M714" t="s">
        <v>5523</v>
      </c>
      <c r="N714" t="s">
        <v>26</v>
      </c>
      <c r="O714" t="s">
        <v>26</v>
      </c>
      <c r="P714" t="s">
        <v>26</v>
      </c>
      <c r="Q714" t="s">
        <v>26</v>
      </c>
      <c r="R714" t="s">
        <v>1235</v>
      </c>
      <c r="S714" t="s">
        <v>5524</v>
      </c>
    </row>
    <row r="715" spans="1:19" x14ac:dyDescent="0.2">
      <c r="A715" t="s">
        <v>5525</v>
      </c>
      <c r="B715" t="s">
        <v>5525</v>
      </c>
      <c r="C715" t="s">
        <v>5526</v>
      </c>
      <c r="D715" t="s">
        <v>22</v>
      </c>
      <c r="E715" t="b">
        <v>0</v>
      </c>
      <c r="F715" t="s">
        <v>23</v>
      </c>
      <c r="G715" t="s">
        <v>5527</v>
      </c>
      <c r="H715" t="s">
        <v>146</v>
      </c>
      <c r="I715" t="s">
        <v>26</v>
      </c>
      <c r="J715" t="s">
        <v>27</v>
      </c>
      <c r="K715" t="s">
        <v>5528</v>
      </c>
      <c r="L715" t="s">
        <v>5525</v>
      </c>
      <c r="M715" t="s">
        <v>5529</v>
      </c>
      <c r="N715" t="s">
        <v>26</v>
      </c>
      <c r="O715" t="s">
        <v>5530</v>
      </c>
      <c r="P715">
        <f>65-90061040</f>
        <v>-90060975</v>
      </c>
      <c r="Q715" s="1" t="d">
        <v>1950-11-01</v>
      </c>
      <c r="R715" t="s">
        <v>732</v>
      </c>
      <c r="S715" t="s">
        <v>5531</v>
      </c>
    </row>
    <row r="716" spans="1:19" x14ac:dyDescent="0.2">
      <c r="A716" t="s">
        <v>5532</v>
      </c>
      <c r="B716" t="s">
        <v>5532</v>
      </c>
      <c r="C716" t="s">
        <v>5533</v>
      </c>
      <c r="D716" t="s">
        <v>22</v>
      </c>
      <c r="E716" t="b">
        <v>0</v>
      </c>
      <c r="F716" t="s">
        <v>23</v>
      </c>
      <c r="G716" t="s">
        <v>5534</v>
      </c>
      <c r="H716" t="s">
        <v>188</v>
      </c>
      <c r="I716" s="2" t="d">
        <v>2022-01-01</v>
      </c>
      <c r="J716" t="s">
        <v>27</v>
      </c>
      <c r="K716" t="s">
        <v>5535</v>
      </c>
      <c r="L716" t="s">
        <v>5532</v>
      </c>
      <c r="M716" t="s">
        <v>5536</v>
      </c>
      <c r="N716" t="s">
        <v>5537</v>
      </c>
      <c r="O716" t="s">
        <v>5538</v>
      </c>
      <c r="P716" t="s">
        <v>26</v>
      </c>
      <c r="Q716" t="s">
        <v>40</v>
      </c>
      <c r="R716" t="s">
        <v>41</v>
      </c>
      <c r="S716" t="s">
        <v>5539</v>
      </c>
    </row>
    <row r="717" spans="1:19" x14ac:dyDescent="0.2">
      <c r="A717" t="s">
        <v>5540</v>
      </c>
      <c r="B717" t="s">
        <v>5540</v>
      </c>
      <c r="C717" t="s">
        <v>5541</v>
      </c>
      <c r="D717" t="s">
        <v>22</v>
      </c>
      <c r="E717" t="b">
        <v>0</v>
      </c>
      <c r="F717" t="s">
        <v>23</v>
      </c>
      <c r="G717" t="s">
        <v>5542</v>
      </c>
      <c r="H717" t="s">
        <v>5543</v>
      </c>
      <c r="I717" t="s">
        <v>26</v>
      </c>
      <c r="J717" t="s">
        <v>27</v>
      </c>
      <c r="K717" t="s">
        <v>5544</v>
      </c>
      <c r="L717" t="s">
        <v>5545</v>
      </c>
      <c r="M717" t="s">
        <v>5546</v>
      </c>
      <c r="N717" t="s">
        <v>26</v>
      </c>
      <c r="O717" t="s">
        <v>5547</v>
      </c>
      <c r="P717" t="s">
        <v>26</v>
      </c>
      <c r="Q717" s="3" t="d">
        <v>2026-01-10</v>
      </c>
      <c r="R717" t="s">
        <v>5548</v>
      </c>
      <c r="S717" t="s">
        <v>5549</v>
      </c>
    </row>
    <row r="718" spans="1:19" x14ac:dyDescent="0.2">
      <c r="A718" t="s">
        <v>5550</v>
      </c>
      <c r="B718" t="s">
        <v>5550</v>
      </c>
      <c r="C718" t="s">
        <v>5551</v>
      </c>
      <c r="D718" t="s">
        <v>22</v>
      </c>
      <c r="E718" t="b">
        <v>0</v>
      </c>
      <c r="F718" t="s">
        <v>23</v>
      </c>
      <c r="G718" t="s">
        <v>5552</v>
      </c>
      <c r="H718" t="s">
        <v>57</v>
      </c>
      <c r="I718" t="s">
        <v>26</v>
      </c>
      <c r="J718" t="s">
        <v>27</v>
      </c>
      <c r="K718" t="s">
        <v>5553</v>
      </c>
      <c r="L718" t="s">
        <v>5550</v>
      </c>
      <c r="M718" t="s">
        <v>5554</v>
      </c>
      <c r="N718" t="s">
        <v>26</v>
      </c>
      <c r="O718" t="s">
        <v>26</v>
      </c>
      <c r="P718" t="s">
        <v>26</v>
      </c>
      <c r="Q718" s="3" t="d">
        <v>2026-01-10</v>
      </c>
      <c r="R718" t="s">
        <v>1252</v>
      </c>
      <c r="S718" t="s">
        <v>5555</v>
      </c>
    </row>
    <row r="719" spans="1:19" x14ac:dyDescent="0.2">
      <c r="A719" t="s">
        <v>5556</v>
      </c>
      <c r="B719" t="s">
        <v>5556</v>
      </c>
      <c r="C719" t="s">
        <v>5557</v>
      </c>
      <c r="D719" t="s">
        <v>22</v>
      </c>
      <c r="E719" t="b">
        <v>0</v>
      </c>
      <c r="F719" t="s">
        <v>23</v>
      </c>
      <c r="G719" t="s">
        <v>5558</v>
      </c>
      <c r="H719" t="s">
        <v>682</v>
      </c>
      <c r="I719" t="s">
        <v>26</v>
      </c>
      <c r="J719" t="s">
        <v>27</v>
      </c>
      <c r="K719" t="s">
        <v>5559</v>
      </c>
      <c r="L719" t="s">
        <v>5556</v>
      </c>
      <c r="M719" t="s">
        <v>5560</v>
      </c>
      <c r="N719" t="s">
        <v>5561</v>
      </c>
      <c r="O719" t="s">
        <v>5562</v>
      </c>
      <c r="P719" t="s">
        <v>26</v>
      </c>
      <c r="Q719" s="3" t="d">
        <v>2026-01-10</v>
      </c>
      <c r="R719" t="s">
        <v>5563</v>
      </c>
      <c r="S719" t="s">
        <v>5564</v>
      </c>
    </row>
    <row r="720" spans="1:19" x14ac:dyDescent="0.2">
      <c r="A720" t="s">
        <v>5565</v>
      </c>
      <c r="B720" t="s">
        <v>5565</v>
      </c>
      <c r="C720" t="s">
        <v>5566</v>
      </c>
      <c r="D720" t="s">
        <v>22</v>
      </c>
      <c r="E720" t="b">
        <v>0</v>
      </c>
      <c r="F720" t="s">
        <v>23</v>
      </c>
      <c r="G720" t="s">
        <v>5567</v>
      </c>
      <c r="H720" t="s">
        <v>137</v>
      </c>
      <c r="I720" t="s">
        <v>26</v>
      </c>
      <c r="J720" t="s">
        <v>27</v>
      </c>
      <c r="K720" t="s">
        <v>5568</v>
      </c>
      <c r="L720" t="s">
        <v>5565</v>
      </c>
      <c r="M720" t="s">
        <v>5569</v>
      </c>
      <c r="N720" t="s">
        <v>5570</v>
      </c>
      <c r="O720" t="s">
        <v>5571</v>
      </c>
      <c r="P720" t="s">
        <v>5572</v>
      </c>
      <c r="Q720" s="1" t="d">
        <v>1950-11-01</v>
      </c>
      <c r="R720" t="s">
        <v>41</v>
      </c>
      <c r="S720" t="s">
        <v>5573</v>
      </c>
    </row>
    <row r="721" spans="1:19" x14ac:dyDescent="0.2">
      <c r="A721" t="s">
        <v>5574</v>
      </c>
      <c r="B721" t="s">
        <v>5575</v>
      </c>
      <c r="C721" t="s">
        <v>5576</v>
      </c>
      <c r="D721" t="s">
        <v>22</v>
      </c>
      <c r="E721" t="b">
        <v>0</v>
      </c>
      <c r="F721" t="s">
        <v>23</v>
      </c>
      <c r="G721" t="s">
        <v>5577</v>
      </c>
      <c r="H721" t="s">
        <v>5578</v>
      </c>
      <c r="I721" s="2" t="d">
        <v>2014-07-01</v>
      </c>
      <c r="J721" t="s">
        <v>27</v>
      </c>
      <c r="K721" t="s">
        <v>5579</v>
      </c>
      <c r="L721" t="s">
        <v>5575</v>
      </c>
      <c r="M721" t="s">
        <v>5580</v>
      </c>
      <c r="N721" t="s">
        <v>5581</v>
      </c>
      <c r="O721" t="s">
        <v>5582</v>
      </c>
      <c r="P721">
        <v>61439547193</v>
      </c>
      <c r="Q721" s="1" t="d">
        <v>1950-11-01</v>
      </c>
      <c r="R721" t="s">
        <v>41</v>
      </c>
      <c r="S721" t="s">
        <v>5583</v>
      </c>
    </row>
    <row r="722" spans="1:19" x14ac:dyDescent="0.2">
      <c r="A722" t="s">
        <v>5584</v>
      </c>
      <c r="B722" t="s">
        <v>5584</v>
      </c>
      <c r="C722" t="s">
        <v>5585</v>
      </c>
      <c r="D722" t="s">
        <v>22</v>
      </c>
      <c r="E722" t="b">
        <v>0</v>
      </c>
      <c r="F722" t="s">
        <v>23</v>
      </c>
      <c r="G722" t="s">
        <v>5586</v>
      </c>
      <c r="H722" t="s">
        <v>188</v>
      </c>
      <c r="I722" t="s">
        <v>26</v>
      </c>
      <c r="J722" t="s">
        <v>27</v>
      </c>
      <c r="K722" t="s">
        <v>5587</v>
      </c>
      <c r="L722" t="s">
        <v>5584</v>
      </c>
      <c r="M722" t="s">
        <v>5588</v>
      </c>
      <c r="N722" t="s">
        <v>26</v>
      </c>
      <c r="O722" t="s">
        <v>5589</v>
      </c>
      <c r="P722" t="s">
        <v>5590</v>
      </c>
      <c r="Q722" s="3" t="d">
        <v>2026-01-10</v>
      </c>
      <c r="R722" t="s">
        <v>5591</v>
      </c>
      <c r="S722" t="s">
        <v>5592</v>
      </c>
    </row>
    <row r="723" spans="1:19" x14ac:dyDescent="0.2">
      <c r="A723" t="s">
        <v>5593</v>
      </c>
      <c r="B723" t="s">
        <v>26</v>
      </c>
      <c r="C723" t="s">
        <v>5594</v>
      </c>
      <c r="D723" t="s">
        <v>26</v>
      </c>
      <c r="E723" t="s">
        <v>26</v>
      </c>
      <c r="F723" t="s">
        <v>26</v>
      </c>
      <c r="G723" t="s">
        <v>5595</v>
      </c>
      <c r="H723" t="s">
        <v>26</v>
      </c>
      <c r="I723" t="s">
        <v>26</v>
      </c>
      <c r="J723" t="s">
        <v>26</v>
      </c>
      <c r="K723" t="s">
        <v>5596</v>
      </c>
      <c r="L723" t="s">
        <v>5597</v>
      </c>
      <c r="M723" t="s">
        <v>26</v>
      </c>
      <c r="N723" t="s">
        <v>26</v>
      </c>
      <c r="O723" t="s">
        <v>26</v>
      </c>
      <c r="P723" t="s">
        <v>26</v>
      </c>
      <c r="Q723" t="s">
        <v>26</v>
      </c>
      <c r="R723" t="s">
        <v>5598</v>
      </c>
      <c r="S723" t="s">
        <v>5599</v>
      </c>
    </row>
    <row r="724" spans="1:19" x14ac:dyDescent="0.2">
      <c r="A724" t="s">
        <v>5600</v>
      </c>
      <c r="B724" t="s">
        <v>5601</v>
      </c>
      <c r="C724" t="s">
        <v>5602</v>
      </c>
      <c r="D724" t="s">
        <v>22</v>
      </c>
      <c r="E724" t="b">
        <v>0</v>
      </c>
      <c r="F724" t="s">
        <v>23</v>
      </c>
      <c r="G724" t="s">
        <v>5603</v>
      </c>
      <c r="H724" t="s">
        <v>2012</v>
      </c>
      <c r="I724" s="2" t="d">
        <v>2024-01-01</v>
      </c>
      <c r="J724" t="s">
        <v>27</v>
      </c>
      <c r="K724" t="s">
        <v>5604</v>
      </c>
      <c r="L724" t="s">
        <v>5605</v>
      </c>
      <c r="M724" t="s">
        <v>5606</v>
      </c>
      <c r="N724" t="s">
        <v>26</v>
      </c>
      <c r="O724" t="s">
        <v>26</v>
      </c>
      <c r="P724" t="s">
        <v>26</v>
      </c>
      <c r="Q724" t="s">
        <v>54</v>
      </c>
      <c r="R724" t="s">
        <v>2661</v>
      </c>
      <c r="S724" t="s">
        <v>5607</v>
      </c>
    </row>
    <row r="725" spans="1:19" x14ac:dyDescent="0.2">
      <c r="A725" t="s">
        <v>5608</v>
      </c>
      <c r="B725" t="s">
        <v>5608</v>
      </c>
      <c r="C725" t="s">
        <v>5609</v>
      </c>
      <c r="D725" t="s">
        <v>22</v>
      </c>
      <c r="E725" t="b">
        <v>0</v>
      </c>
      <c r="F725" t="s">
        <v>23</v>
      </c>
      <c r="G725" t="s">
        <v>5610</v>
      </c>
      <c r="H725" t="s">
        <v>196</v>
      </c>
      <c r="I725" t="s">
        <v>26</v>
      </c>
      <c r="J725" t="s">
        <v>27</v>
      </c>
      <c r="K725" t="s">
        <v>5611</v>
      </c>
      <c r="L725" t="s">
        <v>5612</v>
      </c>
      <c r="M725" t="s">
        <v>5613</v>
      </c>
      <c r="N725" t="s">
        <v>26</v>
      </c>
      <c r="O725" t="s">
        <v>5614</v>
      </c>
      <c r="P725" t="s">
        <v>26</v>
      </c>
      <c r="Q725" s="1" t="d">
        <v>1950-11-01</v>
      </c>
      <c r="R725" t="s">
        <v>1732</v>
      </c>
      <c r="S725" t="s">
        <v>5615</v>
      </c>
    </row>
    <row r="726" spans="1:19" x14ac:dyDescent="0.2">
      <c r="A726" t="s">
        <v>5616</v>
      </c>
      <c r="B726" t="s">
        <v>26</v>
      </c>
      <c r="C726" t="s">
        <v>5617</v>
      </c>
      <c r="D726" t="s">
        <v>26</v>
      </c>
      <c r="E726" t="s">
        <v>26</v>
      </c>
      <c r="F726" t="s">
        <v>26</v>
      </c>
      <c r="G726" t="s">
        <v>5618</v>
      </c>
      <c r="H726" t="s">
        <v>26</v>
      </c>
      <c r="I726" t="s">
        <v>26</v>
      </c>
      <c r="J726" t="s">
        <v>26</v>
      </c>
      <c r="K726" t="s">
        <v>5619</v>
      </c>
      <c r="L726" t="s">
        <v>5620</v>
      </c>
      <c r="M726" t="s">
        <v>5621</v>
      </c>
      <c r="N726" t="s">
        <v>5622</v>
      </c>
      <c r="O726" t="s">
        <v>26</v>
      </c>
      <c r="P726" t="s">
        <v>26</v>
      </c>
      <c r="Q726" t="s">
        <v>26</v>
      </c>
      <c r="R726" t="s">
        <v>5623</v>
      </c>
      <c r="S726" t="s">
        <v>5624</v>
      </c>
    </row>
    <row r="727" spans="1:19" x14ac:dyDescent="0.2">
      <c r="A727" t="s">
        <v>5625</v>
      </c>
      <c r="B727" t="s">
        <v>5625</v>
      </c>
      <c r="C727" t="s">
        <v>5626</v>
      </c>
      <c r="D727" t="s">
        <v>22</v>
      </c>
      <c r="E727" t="b">
        <v>0</v>
      </c>
      <c r="F727" t="s">
        <v>23</v>
      </c>
      <c r="G727" t="s">
        <v>5627</v>
      </c>
      <c r="H727" t="s">
        <v>212</v>
      </c>
      <c r="I727" t="s">
        <v>26</v>
      </c>
      <c r="J727" t="s">
        <v>27</v>
      </c>
      <c r="K727" t="s">
        <v>5628</v>
      </c>
      <c r="L727" t="s">
        <v>5629</v>
      </c>
      <c r="M727" t="s">
        <v>5630</v>
      </c>
      <c r="N727" t="s">
        <v>5631</v>
      </c>
      <c r="O727" t="s">
        <v>5632</v>
      </c>
      <c r="P727" t="s">
        <v>5633</v>
      </c>
      <c r="Q727" s="1" t="d">
        <v>1950-11-01</v>
      </c>
      <c r="R727" t="s">
        <v>5634</v>
      </c>
      <c r="S727" t="s">
        <v>5635</v>
      </c>
    </row>
    <row r="728" spans="1:19" x14ac:dyDescent="0.2">
      <c r="A728" t="s">
        <v>5636</v>
      </c>
      <c r="B728" t="s">
        <v>5637</v>
      </c>
      <c r="C728" t="s">
        <v>5638</v>
      </c>
      <c r="D728" t="s">
        <v>22</v>
      </c>
      <c r="E728" t="b">
        <v>0</v>
      </c>
      <c r="F728" t="s">
        <v>23</v>
      </c>
      <c r="G728" t="s">
        <v>5639</v>
      </c>
      <c r="H728" t="s">
        <v>58</v>
      </c>
      <c r="I728" t="s">
        <v>26</v>
      </c>
      <c r="J728" t="s">
        <v>27</v>
      </c>
      <c r="K728" t="s">
        <v>5640</v>
      </c>
      <c r="L728" t="s">
        <v>5641</v>
      </c>
      <c r="M728" t="s">
        <v>5642</v>
      </c>
      <c r="N728" t="s">
        <v>26</v>
      </c>
      <c r="O728" t="s">
        <v>26</v>
      </c>
      <c r="P728" t="s">
        <v>26</v>
      </c>
      <c r="Q728" s="3" t="d">
        <v>2026-01-10</v>
      </c>
      <c r="R728" t="s">
        <v>2756</v>
      </c>
      <c r="S728" t="s">
        <v>5643</v>
      </c>
    </row>
    <row r="729" spans="1:19" x14ac:dyDescent="0.2">
      <c r="A729" t="s">
        <v>5644</v>
      </c>
      <c r="B729" t="s">
        <v>5645</v>
      </c>
      <c r="C729" t="s">
        <v>5646</v>
      </c>
      <c r="D729" t="s">
        <v>22</v>
      </c>
      <c r="E729" t="b">
        <v>0</v>
      </c>
      <c r="F729" t="s">
        <v>23</v>
      </c>
      <c r="G729" t="s">
        <v>5647</v>
      </c>
      <c r="H729" t="s">
        <v>5648</v>
      </c>
      <c r="I729" t="s">
        <v>26</v>
      </c>
      <c r="J729" t="s">
        <v>27</v>
      </c>
      <c r="K729" t="s">
        <v>5649</v>
      </c>
      <c r="L729" t="s">
        <v>5645</v>
      </c>
      <c r="M729" t="s">
        <v>5650</v>
      </c>
      <c r="N729" t="s">
        <v>26</v>
      </c>
      <c r="O729" t="s">
        <v>5651</v>
      </c>
      <c r="P729" t="s">
        <v>5652</v>
      </c>
      <c r="Q729" t="s">
        <v>54</v>
      </c>
      <c r="R729" t="s">
        <v>5634</v>
      </c>
      <c r="S729" t="s">
        <v>5653</v>
      </c>
    </row>
    <row r="730" spans="1:19" x14ac:dyDescent="0.2">
      <c r="A730" t="s">
        <v>5654</v>
      </c>
      <c r="B730" t="s">
        <v>26</v>
      </c>
      <c r="C730" t="s">
        <v>1062</v>
      </c>
      <c r="D730" t="s">
        <v>26</v>
      </c>
      <c r="E730" t="s">
        <v>26</v>
      </c>
      <c r="F730" t="s">
        <v>26</v>
      </c>
      <c r="G730" t="s">
        <v>5655</v>
      </c>
      <c r="H730" t="s">
        <v>26</v>
      </c>
      <c r="I730" t="s">
        <v>26</v>
      </c>
      <c r="J730" t="s">
        <v>26</v>
      </c>
      <c r="K730" t="s">
        <v>5656</v>
      </c>
      <c r="L730" t="s">
        <v>26</v>
      </c>
      <c r="M730" t="s">
        <v>26</v>
      </c>
      <c r="N730" t="s">
        <v>5657</v>
      </c>
      <c r="O730" t="s">
        <v>26</v>
      </c>
      <c r="P730" t="s">
        <v>26</v>
      </c>
      <c r="Q730" t="s">
        <v>26</v>
      </c>
      <c r="R730" t="s">
        <v>5658</v>
      </c>
      <c r="S730" t="s">
        <v>5659</v>
      </c>
    </row>
    <row r="731" spans="1:19" x14ac:dyDescent="0.2">
      <c r="A731" t="s">
        <v>2350</v>
      </c>
      <c r="B731" t="s">
        <v>5660</v>
      </c>
      <c r="C731" t="s">
        <v>5661</v>
      </c>
      <c r="D731" t="s">
        <v>22</v>
      </c>
      <c r="E731" t="b">
        <v>0</v>
      </c>
      <c r="F731" t="s">
        <v>23</v>
      </c>
      <c r="G731" t="s">
        <v>5662</v>
      </c>
      <c r="H731" t="s">
        <v>5663</v>
      </c>
      <c r="I731" s="2" t="d">
        <v>1992-01-01</v>
      </c>
      <c r="J731" t="s">
        <v>27</v>
      </c>
      <c r="K731" t="s">
        <v>5664</v>
      </c>
      <c r="L731" t="s">
        <v>26</v>
      </c>
      <c r="M731" t="s">
        <v>26</v>
      </c>
      <c r="N731" t="s">
        <v>26</v>
      </c>
      <c r="O731" t="s">
        <v>5665</v>
      </c>
      <c r="P731" t="s">
        <v>5666</v>
      </c>
      <c r="Q731" s="1" t="d">
        <v>1950-11-01</v>
      </c>
      <c r="R731" t="s">
        <v>41</v>
      </c>
      <c r="S731" t="s">
        <v>5667</v>
      </c>
    </row>
    <row r="732" spans="1:19" x14ac:dyDescent="0.2">
      <c r="A732" t="s">
        <v>5668</v>
      </c>
      <c r="B732" t="s">
        <v>5668</v>
      </c>
      <c r="C732" t="s">
        <v>5669</v>
      </c>
      <c r="D732" t="s">
        <v>22</v>
      </c>
      <c r="E732" t="b">
        <v>0</v>
      </c>
      <c r="F732" t="s">
        <v>23</v>
      </c>
      <c r="G732" t="s">
        <v>5670</v>
      </c>
      <c r="H732" t="s">
        <v>56</v>
      </c>
      <c r="I732" t="s">
        <v>26</v>
      </c>
      <c r="J732" t="s">
        <v>27</v>
      </c>
      <c r="K732" t="s">
        <v>5671</v>
      </c>
      <c r="L732" t="s">
        <v>5672</v>
      </c>
      <c r="M732" t="s">
        <v>5673</v>
      </c>
      <c r="N732" t="s">
        <v>5674</v>
      </c>
      <c r="O732" t="s">
        <v>5675</v>
      </c>
      <c r="P732" t="s">
        <v>26</v>
      </c>
      <c r="Q732" t="s">
        <v>54</v>
      </c>
      <c r="R732" t="s">
        <v>5676</v>
      </c>
      <c r="S732" t="s">
        <v>5677</v>
      </c>
    </row>
    <row r="733" spans="1:19" x14ac:dyDescent="0.2">
      <c r="A733" t="s">
        <v>5678</v>
      </c>
      <c r="B733" t="s">
        <v>5678</v>
      </c>
      <c r="C733" t="s">
        <v>5679</v>
      </c>
      <c r="D733" t="s">
        <v>22</v>
      </c>
      <c r="E733" t="b">
        <v>0</v>
      </c>
      <c r="F733" t="s">
        <v>23</v>
      </c>
      <c r="G733" t="s">
        <v>5680</v>
      </c>
      <c r="H733" t="s">
        <v>737</v>
      </c>
      <c r="I733" s="2" t="d">
        <v>2021-01-01</v>
      </c>
      <c r="J733" t="s">
        <v>27</v>
      </c>
      <c r="K733" t="s">
        <v>5681</v>
      </c>
      <c r="L733" t="s">
        <v>5678</v>
      </c>
      <c r="M733" t="s">
        <v>5682</v>
      </c>
      <c r="N733" t="s">
        <v>26</v>
      </c>
      <c r="O733" t="s">
        <v>26</v>
      </c>
      <c r="P733" t="s">
        <v>26</v>
      </c>
      <c r="Q733" s="1" t="d">
        <v>1950-11-01</v>
      </c>
      <c r="R733" t="s">
        <v>41</v>
      </c>
      <c r="S733" t="s">
        <v>5683</v>
      </c>
    </row>
    <row r="734" spans="1:19" x14ac:dyDescent="0.2">
      <c r="A734" t="s">
        <v>5684</v>
      </c>
      <c r="B734" t="s">
        <v>5684</v>
      </c>
      <c r="C734" t="s">
        <v>5685</v>
      </c>
      <c r="D734" t="s">
        <v>22</v>
      </c>
      <c r="E734" t="b">
        <v>0</v>
      </c>
      <c r="F734" t="s">
        <v>23</v>
      </c>
      <c r="G734" t="s">
        <v>5686</v>
      </c>
      <c r="H734" t="s">
        <v>119</v>
      </c>
      <c r="I734" s="2" t="d">
        <v>2018-08-01</v>
      </c>
      <c r="J734" t="s">
        <v>27</v>
      </c>
      <c r="K734" t="s">
        <v>5687</v>
      </c>
      <c r="L734" t="s">
        <v>5684</v>
      </c>
      <c r="M734" t="s">
        <v>5688</v>
      </c>
      <c r="N734" t="s">
        <v>5689</v>
      </c>
      <c r="O734" t="s">
        <v>5690</v>
      </c>
      <c r="P734" t="s">
        <v>5691</v>
      </c>
      <c r="Q734" t="s">
        <v>54</v>
      </c>
      <c r="R734" t="s">
        <v>41</v>
      </c>
      <c r="S734" t="s">
        <v>5692</v>
      </c>
    </row>
    <row r="735" spans="1:19" x14ac:dyDescent="0.2">
      <c r="A735" t="s">
        <v>5693</v>
      </c>
      <c r="B735" t="s">
        <v>5693</v>
      </c>
      <c r="C735" t="s">
        <v>5694</v>
      </c>
      <c r="D735" t="s">
        <v>22</v>
      </c>
      <c r="E735" t="b">
        <v>0</v>
      </c>
      <c r="F735" t="s">
        <v>26</v>
      </c>
      <c r="G735" t="s">
        <v>5695</v>
      </c>
      <c r="H735" t="s">
        <v>5696</v>
      </c>
      <c r="I735" t="s">
        <v>26</v>
      </c>
      <c r="J735" t="s">
        <v>27</v>
      </c>
      <c r="K735" t="s">
        <v>5697</v>
      </c>
      <c r="L735" t="s">
        <v>5698</v>
      </c>
      <c r="M735" t="s">
        <v>5699</v>
      </c>
      <c r="N735" t="s">
        <v>26</v>
      </c>
      <c r="O735" t="s">
        <v>5700</v>
      </c>
      <c r="P735" t="s">
        <v>26</v>
      </c>
      <c r="Q735" s="3" t="d">
        <v>2026-01-10</v>
      </c>
      <c r="R735" t="s">
        <v>3930</v>
      </c>
      <c r="S735" t="s">
        <v>5701</v>
      </c>
    </row>
    <row r="736" spans="1:19" x14ac:dyDescent="0.2">
      <c r="A736" t="s">
        <v>5702</v>
      </c>
      <c r="B736" t="s">
        <v>5702</v>
      </c>
      <c r="C736" t="s">
        <v>5703</v>
      </c>
      <c r="D736" t="s">
        <v>22</v>
      </c>
      <c r="E736" t="b">
        <v>0</v>
      </c>
      <c r="F736" t="s">
        <v>23</v>
      </c>
      <c r="G736" t="s">
        <v>5704</v>
      </c>
      <c r="H736" t="s">
        <v>5705</v>
      </c>
      <c r="I736" s="2" t="d">
        <v>2018-01-01</v>
      </c>
      <c r="J736" t="s">
        <v>27</v>
      </c>
      <c r="K736" t="s">
        <v>5706</v>
      </c>
      <c r="L736" t="s">
        <v>5702</v>
      </c>
      <c r="M736" t="s">
        <v>5707</v>
      </c>
      <c r="N736" t="s">
        <v>5708</v>
      </c>
      <c r="O736" t="s">
        <v>26</v>
      </c>
      <c r="P736" t="s">
        <v>26</v>
      </c>
      <c r="Q736" t="s">
        <v>54</v>
      </c>
      <c r="R736" t="s">
        <v>41</v>
      </c>
      <c r="S736" t="s">
        <v>5709</v>
      </c>
    </row>
    <row r="737" spans="1:19" x14ac:dyDescent="0.2">
      <c r="A737" t="s">
        <v>5710</v>
      </c>
      <c r="B737" t="s">
        <v>5710</v>
      </c>
      <c r="C737" t="s">
        <v>5711</v>
      </c>
      <c r="D737" t="s">
        <v>22</v>
      </c>
      <c r="E737" t="b">
        <v>0</v>
      </c>
      <c r="F737" t="s">
        <v>23</v>
      </c>
      <c r="G737" t="s">
        <v>5712</v>
      </c>
      <c r="H737" t="s">
        <v>682</v>
      </c>
      <c r="I737" t="s">
        <v>26</v>
      </c>
      <c r="J737" t="s">
        <v>27</v>
      </c>
      <c r="K737" t="s">
        <v>5713</v>
      </c>
      <c r="L737" t="s">
        <v>5714</v>
      </c>
      <c r="M737" t="s">
        <v>5715</v>
      </c>
      <c r="N737" t="s">
        <v>5716</v>
      </c>
      <c r="O737" t="s">
        <v>5717</v>
      </c>
      <c r="P737" t="s">
        <v>5718</v>
      </c>
      <c r="Q737" t="s">
        <v>113</v>
      </c>
      <c r="R737" t="s">
        <v>41</v>
      </c>
      <c r="S737" t="s">
        <v>5719</v>
      </c>
    </row>
    <row r="738" spans="1:19" x14ac:dyDescent="0.2">
      <c r="A738" t="s">
        <v>5720</v>
      </c>
      <c r="B738" t="s">
        <v>5720</v>
      </c>
      <c r="C738" t="s">
        <v>5721</v>
      </c>
      <c r="D738" t="s">
        <v>22</v>
      </c>
      <c r="E738" t="b">
        <v>0</v>
      </c>
      <c r="F738" t="s">
        <v>23</v>
      </c>
      <c r="G738" t="s">
        <v>5722</v>
      </c>
      <c r="H738" t="s">
        <v>1064</v>
      </c>
      <c r="I738" t="s">
        <v>26</v>
      </c>
      <c r="J738" t="s">
        <v>27</v>
      </c>
      <c r="K738" t="s">
        <v>5723</v>
      </c>
      <c r="L738" t="s">
        <v>5724</v>
      </c>
      <c r="M738" t="s">
        <v>5725</v>
      </c>
      <c r="N738" t="s">
        <v>26</v>
      </c>
      <c r="O738" t="s">
        <v>5726</v>
      </c>
      <c r="P738" t="s">
        <v>26</v>
      </c>
      <c r="Q738" s="3" t="d">
        <v>2026-01-10</v>
      </c>
      <c r="R738" t="s">
        <v>1079</v>
      </c>
      <c r="S738" t="s">
        <v>5727</v>
      </c>
    </row>
    <row r="739" spans="1:19" x14ac:dyDescent="0.2">
      <c r="A739" t="s">
        <v>5728</v>
      </c>
      <c r="B739" t="s">
        <v>5728</v>
      </c>
      <c r="C739" t="s">
        <v>5729</v>
      </c>
      <c r="D739" t="s">
        <v>22</v>
      </c>
      <c r="E739" t="b">
        <v>0</v>
      </c>
      <c r="F739" t="s">
        <v>23</v>
      </c>
      <c r="G739" t="s">
        <v>5730</v>
      </c>
      <c r="H739" t="s">
        <v>3107</v>
      </c>
      <c r="I739" t="s">
        <v>26</v>
      </c>
      <c r="J739" t="s">
        <v>27</v>
      </c>
      <c r="K739" t="s">
        <v>5731</v>
      </c>
      <c r="L739" t="s">
        <v>5728</v>
      </c>
      <c r="M739" t="s">
        <v>5732</v>
      </c>
      <c r="N739" t="s">
        <v>26</v>
      </c>
      <c r="O739" t="s">
        <v>5733</v>
      </c>
      <c r="P739" t="s">
        <v>26</v>
      </c>
      <c r="Q739" s="3" t="d">
        <v>2026-01-10</v>
      </c>
      <c r="R739" t="s">
        <v>3879</v>
      </c>
      <c r="S739" t="s">
        <v>5734</v>
      </c>
    </row>
    <row r="740" spans="1:19" x14ac:dyDescent="0.2">
      <c r="A740" t="s">
        <v>5735</v>
      </c>
      <c r="B740" t="s">
        <v>5736</v>
      </c>
      <c r="C740" t="s">
        <v>5737</v>
      </c>
      <c r="D740" t="s">
        <v>22</v>
      </c>
      <c r="E740" t="b">
        <v>0</v>
      </c>
      <c r="F740" t="s">
        <v>23</v>
      </c>
      <c r="G740" t="s">
        <v>5738</v>
      </c>
      <c r="H740" t="s">
        <v>1866</v>
      </c>
      <c r="I740" t="s">
        <v>26</v>
      </c>
      <c r="J740" t="s">
        <v>27</v>
      </c>
      <c r="K740" t="s">
        <v>5739</v>
      </c>
      <c r="L740" t="s">
        <v>5740</v>
      </c>
      <c r="M740" t="s">
        <v>26</v>
      </c>
      <c r="N740" t="s">
        <v>5741</v>
      </c>
      <c r="O740" t="s">
        <v>5742</v>
      </c>
      <c r="P740" t="s">
        <v>5743</v>
      </c>
      <c r="Q740" t="s">
        <v>40</v>
      </c>
      <c r="R740" t="s">
        <v>41</v>
      </c>
      <c r="S740" t="s">
        <v>5744</v>
      </c>
    </row>
    <row r="741" spans="1:19" x14ac:dyDescent="0.2">
      <c r="A741" t="s">
        <v>5745</v>
      </c>
      <c r="B741" t="s">
        <v>26</v>
      </c>
      <c r="C741" t="s">
        <v>5746</v>
      </c>
      <c r="D741" t="s">
        <v>26</v>
      </c>
      <c r="E741" t="s">
        <v>26</v>
      </c>
      <c r="F741" t="s">
        <v>26</v>
      </c>
      <c r="G741" t="s">
        <v>5747</v>
      </c>
      <c r="H741" t="s">
        <v>26</v>
      </c>
      <c r="I741" t="s">
        <v>26</v>
      </c>
      <c r="J741" t="s">
        <v>26</v>
      </c>
      <c r="K741" t="s">
        <v>5748</v>
      </c>
      <c r="L741" t="s">
        <v>5749</v>
      </c>
      <c r="M741" t="s">
        <v>5750</v>
      </c>
      <c r="N741" t="s">
        <v>26</v>
      </c>
      <c r="O741" t="s">
        <v>26</v>
      </c>
      <c r="P741" t="s">
        <v>26</v>
      </c>
      <c r="Q741" t="s">
        <v>26</v>
      </c>
      <c r="R741" t="s">
        <v>5100</v>
      </c>
      <c r="S741" t="s">
        <v>5751</v>
      </c>
    </row>
    <row r="742" spans="1:19" x14ac:dyDescent="0.2">
      <c r="A742" t="s">
        <v>5752</v>
      </c>
      <c r="B742" t="s">
        <v>26</v>
      </c>
      <c r="C742" t="s">
        <v>5753</v>
      </c>
      <c r="D742" t="s">
        <v>26</v>
      </c>
      <c r="E742" t="s">
        <v>26</v>
      </c>
      <c r="F742" t="s">
        <v>26</v>
      </c>
      <c r="G742" t="s">
        <v>5754</v>
      </c>
      <c r="H742" t="s">
        <v>26</v>
      </c>
      <c r="I742" t="s">
        <v>26</v>
      </c>
      <c r="J742" t="s">
        <v>26</v>
      </c>
      <c r="K742" t="s">
        <v>26</v>
      </c>
      <c r="L742" t="s">
        <v>5755</v>
      </c>
      <c r="M742" t="s">
        <v>26</v>
      </c>
      <c r="N742" t="s">
        <v>26</v>
      </c>
      <c r="O742" t="s">
        <v>26</v>
      </c>
      <c r="P742" t="s">
        <v>26</v>
      </c>
      <c r="Q742" t="s">
        <v>26</v>
      </c>
      <c r="R742" t="s">
        <v>5100</v>
      </c>
      <c r="S742" t="s">
        <v>5756</v>
      </c>
    </row>
    <row r="743" spans="1:19" x14ac:dyDescent="0.2">
      <c r="A743" t="s">
        <v>5757</v>
      </c>
      <c r="B743" t="s">
        <v>5757</v>
      </c>
      <c r="C743" t="s">
        <v>5758</v>
      </c>
      <c r="D743" t="s">
        <v>22</v>
      </c>
      <c r="E743" t="b">
        <v>0</v>
      </c>
      <c r="F743" t="s">
        <v>23</v>
      </c>
      <c r="G743" t="s">
        <v>5759</v>
      </c>
      <c r="H743" t="s">
        <v>2648</v>
      </c>
      <c r="I743" s="2" t="d">
        <v>2016-10-01</v>
      </c>
      <c r="J743" t="s">
        <v>27</v>
      </c>
      <c r="K743" t="s">
        <v>5760</v>
      </c>
      <c r="L743" t="s">
        <v>5761</v>
      </c>
      <c r="M743" t="s">
        <v>5762</v>
      </c>
      <c r="N743" t="s">
        <v>26</v>
      </c>
      <c r="O743" t="s">
        <v>5763</v>
      </c>
      <c r="P743" t="s">
        <v>5764</v>
      </c>
      <c r="Q743" t="s">
        <v>40</v>
      </c>
      <c r="R743" t="s">
        <v>41</v>
      </c>
      <c r="S743" t="s">
        <v>5765</v>
      </c>
    </row>
    <row r="744" spans="1:19" x14ac:dyDescent="0.2">
      <c r="A744" t="s">
        <v>5766</v>
      </c>
      <c r="B744" t="s">
        <v>5767</v>
      </c>
      <c r="C744" t="s">
        <v>5768</v>
      </c>
      <c r="D744" t="s">
        <v>22</v>
      </c>
      <c r="E744" t="b">
        <v>0</v>
      </c>
      <c r="F744" t="s">
        <v>23</v>
      </c>
      <c r="G744" t="s">
        <v>5769</v>
      </c>
      <c r="H744" t="s">
        <v>339</v>
      </c>
      <c r="I744" t="s">
        <v>26</v>
      </c>
      <c r="J744" t="s">
        <v>27</v>
      </c>
      <c r="K744" t="s">
        <v>5770</v>
      </c>
      <c r="L744" t="s">
        <v>5766</v>
      </c>
      <c r="M744" t="s">
        <v>5771</v>
      </c>
      <c r="N744" t="s">
        <v>5772</v>
      </c>
      <c r="O744" t="s">
        <v>5773</v>
      </c>
      <c r="P744" t="s">
        <v>26</v>
      </c>
      <c r="Q744" t="s">
        <v>218</v>
      </c>
      <c r="R744" t="s">
        <v>41</v>
      </c>
      <c r="S744" t="s">
        <v>5774</v>
      </c>
    </row>
    <row r="745" spans="1:19" x14ac:dyDescent="0.2">
      <c r="A745" t="s">
        <v>5775</v>
      </c>
      <c r="B745" t="s">
        <v>5776</v>
      </c>
      <c r="C745" t="s">
        <v>5777</v>
      </c>
      <c r="D745" t="s">
        <v>22</v>
      </c>
      <c r="E745" t="b">
        <v>0</v>
      </c>
      <c r="F745" t="s">
        <v>23</v>
      </c>
      <c r="G745" t="s">
        <v>5778</v>
      </c>
      <c r="H745" t="s">
        <v>188</v>
      </c>
      <c r="I745" s="2" t="d">
        <v>2018-01-01</v>
      </c>
      <c r="J745" t="s">
        <v>27</v>
      </c>
      <c r="K745" t="s">
        <v>5779</v>
      </c>
      <c r="L745" t="s">
        <v>5780</v>
      </c>
      <c r="M745" t="s">
        <v>5781</v>
      </c>
      <c r="N745" t="s">
        <v>5782</v>
      </c>
      <c r="O745" t="s">
        <v>5783</v>
      </c>
      <c r="P745" t="s">
        <v>5784</v>
      </c>
      <c r="Q745" t="s">
        <v>218</v>
      </c>
      <c r="R745" t="s">
        <v>41</v>
      </c>
      <c r="S745" t="s">
        <v>5785</v>
      </c>
    </row>
    <row r="746" spans="1:19" x14ac:dyDescent="0.2">
      <c r="A746" t="s">
        <v>5786</v>
      </c>
      <c r="B746" t="s">
        <v>5786</v>
      </c>
      <c r="C746" t="s">
        <v>5787</v>
      </c>
      <c r="D746" t="s">
        <v>22</v>
      </c>
      <c r="E746" t="b">
        <v>0</v>
      </c>
      <c r="F746" t="s">
        <v>23</v>
      </c>
      <c r="G746" t="s">
        <v>5788</v>
      </c>
      <c r="H746" t="s">
        <v>5789</v>
      </c>
      <c r="I746" s="2" t="d">
        <v>2021-11-01</v>
      </c>
      <c r="J746" t="s">
        <v>27</v>
      </c>
      <c r="K746" t="s">
        <v>5790</v>
      </c>
      <c r="L746" t="s">
        <v>5786</v>
      </c>
      <c r="M746" t="s">
        <v>5791</v>
      </c>
      <c r="N746" t="s">
        <v>5792</v>
      </c>
      <c r="O746" t="s">
        <v>5793</v>
      </c>
      <c r="P746" t="s">
        <v>5794</v>
      </c>
      <c r="Q746" t="s">
        <v>54</v>
      </c>
      <c r="R746" t="s">
        <v>41</v>
      </c>
      <c r="S746" t="s">
        <v>5795</v>
      </c>
    </row>
    <row r="747" spans="1:19" x14ac:dyDescent="0.2">
      <c r="A747" t="s">
        <v>5796</v>
      </c>
      <c r="B747" t="s">
        <v>5796</v>
      </c>
      <c r="C747" t="s">
        <v>5797</v>
      </c>
      <c r="D747" t="s">
        <v>22</v>
      </c>
      <c r="E747" t="b">
        <v>0</v>
      </c>
      <c r="F747" t="s">
        <v>23</v>
      </c>
      <c r="G747" t="s">
        <v>5798</v>
      </c>
      <c r="H747" t="s">
        <v>36</v>
      </c>
      <c r="I747" t="s">
        <v>26</v>
      </c>
      <c r="J747" t="s">
        <v>27</v>
      </c>
      <c r="K747" t="s">
        <v>5799</v>
      </c>
      <c r="L747" t="s">
        <v>5800</v>
      </c>
      <c r="M747" t="s">
        <v>5801</v>
      </c>
      <c r="N747" t="s">
        <v>26</v>
      </c>
      <c r="O747" t="s">
        <v>5802</v>
      </c>
      <c r="P747" t="s">
        <v>26</v>
      </c>
      <c r="Q747" s="3" t="d">
        <v>2026-01-10</v>
      </c>
      <c r="R747" t="s">
        <v>1484</v>
      </c>
      <c r="S747" t="s">
        <v>5803</v>
      </c>
    </row>
    <row r="748" spans="1:19" x14ac:dyDescent="0.2">
      <c r="A748" t="s">
        <v>5804</v>
      </c>
      <c r="B748" t="s">
        <v>5805</v>
      </c>
      <c r="C748" t="s">
        <v>5806</v>
      </c>
      <c r="D748" t="s">
        <v>22</v>
      </c>
      <c r="E748" t="b">
        <v>0</v>
      </c>
      <c r="F748" t="s">
        <v>23</v>
      </c>
      <c r="G748" t="s">
        <v>5807</v>
      </c>
      <c r="H748" t="s">
        <v>5808</v>
      </c>
      <c r="I748" t="s">
        <v>26</v>
      </c>
      <c r="J748" t="s">
        <v>27</v>
      </c>
      <c r="K748" t="s">
        <v>5809</v>
      </c>
      <c r="L748" t="s">
        <v>5810</v>
      </c>
      <c r="M748" t="s">
        <v>5811</v>
      </c>
      <c r="N748" t="s">
        <v>26</v>
      </c>
      <c r="O748" t="s">
        <v>5812</v>
      </c>
      <c r="P748" t="s">
        <v>5813</v>
      </c>
      <c r="Q748" s="1" t="d">
        <v>1950-11-01</v>
      </c>
      <c r="R748" t="s">
        <v>580</v>
      </c>
      <c r="S748" t="s">
        <v>5814</v>
      </c>
    </row>
    <row r="749" spans="1:19" x14ac:dyDescent="0.2">
      <c r="A749" t="s">
        <v>5815</v>
      </c>
      <c r="B749" t="s">
        <v>5816</v>
      </c>
      <c r="C749" t="s">
        <v>5817</v>
      </c>
      <c r="D749" t="s">
        <v>22</v>
      </c>
      <c r="E749" t="b">
        <v>0</v>
      </c>
      <c r="F749" t="s">
        <v>23</v>
      </c>
      <c r="G749" t="s">
        <v>5818</v>
      </c>
      <c r="H749" t="s">
        <v>998</v>
      </c>
      <c r="I749" t="s">
        <v>26</v>
      </c>
      <c r="J749" t="s">
        <v>27</v>
      </c>
      <c r="K749" t="s">
        <v>5819</v>
      </c>
      <c r="L749" t="s">
        <v>5816</v>
      </c>
      <c r="M749" t="s">
        <v>5820</v>
      </c>
      <c r="N749" t="s">
        <v>5821</v>
      </c>
      <c r="O749" t="s">
        <v>5822</v>
      </c>
      <c r="P749">
        <v>358505141361</v>
      </c>
      <c r="Q749" s="3" t="d">
        <v>2026-01-10</v>
      </c>
      <c r="R749" t="s">
        <v>5823</v>
      </c>
      <c r="S749" t="s">
        <v>5824</v>
      </c>
    </row>
    <row r="750" spans="1:19" x14ac:dyDescent="0.2">
      <c r="A750" t="s">
        <v>5825</v>
      </c>
      <c r="B750" t="s">
        <v>5825</v>
      </c>
      <c r="C750" t="s">
        <v>5826</v>
      </c>
      <c r="D750" t="s">
        <v>22</v>
      </c>
      <c r="E750" t="b">
        <v>0</v>
      </c>
      <c r="F750" t="s">
        <v>23</v>
      </c>
      <c r="G750" t="s">
        <v>5827</v>
      </c>
      <c r="H750" t="s">
        <v>1627</v>
      </c>
      <c r="I750" s="2" t="d">
        <v>2024-01-01</v>
      </c>
      <c r="J750" t="s">
        <v>27</v>
      </c>
      <c r="K750" t="s">
        <v>5828</v>
      </c>
      <c r="L750" t="s">
        <v>5829</v>
      </c>
      <c r="M750" t="s">
        <v>5830</v>
      </c>
      <c r="N750" t="s">
        <v>5831</v>
      </c>
      <c r="O750" t="s">
        <v>26</v>
      </c>
      <c r="P750" t="s">
        <v>26</v>
      </c>
      <c r="Q750" t="s">
        <v>54</v>
      </c>
      <c r="R750" t="s">
        <v>1060</v>
      </c>
      <c r="S750" t="s">
        <v>5832</v>
      </c>
    </row>
    <row r="751" spans="1:19" x14ac:dyDescent="0.2">
      <c r="A751" t="s">
        <v>5833</v>
      </c>
      <c r="B751" t="s">
        <v>5833</v>
      </c>
      <c r="C751" t="s">
        <v>5834</v>
      </c>
      <c r="D751" t="s">
        <v>22</v>
      </c>
      <c r="E751" t="b">
        <v>0</v>
      </c>
      <c r="F751" t="s">
        <v>23</v>
      </c>
      <c r="G751" t="s">
        <v>5835</v>
      </c>
      <c r="H751" t="s">
        <v>67</v>
      </c>
      <c r="I751" t="s">
        <v>26</v>
      </c>
      <c r="J751" t="s">
        <v>27</v>
      </c>
      <c r="K751" t="s">
        <v>5836</v>
      </c>
      <c r="L751" t="s">
        <v>5833</v>
      </c>
      <c r="M751" t="s">
        <v>5837</v>
      </c>
      <c r="N751" t="s">
        <v>26</v>
      </c>
      <c r="O751" t="s">
        <v>26</v>
      </c>
      <c r="P751" t="s">
        <v>26</v>
      </c>
      <c r="Q751" s="1" t="d">
        <v>1950-11-01</v>
      </c>
      <c r="R751" t="s">
        <v>5838</v>
      </c>
      <c r="S751" t="s">
        <v>5839</v>
      </c>
    </row>
    <row r="752" spans="1:19" x14ac:dyDescent="0.2">
      <c r="A752" t="s">
        <v>5840</v>
      </c>
      <c r="B752" t="s">
        <v>5841</v>
      </c>
      <c r="C752" t="s">
        <v>5842</v>
      </c>
      <c r="D752" t="s">
        <v>22</v>
      </c>
      <c r="E752" t="b">
        <v>0</v>
      </c>
      <c r="F752" t="s">
        <v>23</v>
      </c>
      <c r="G752" t="s">
        <v>5843</v>
      </c>
      <c r="H752" t="s">
        <v>5844</v>
      </c>
      <c r="I752" t="s">
        <v>26</v>
      </c>
      <c r="J752" t="s">
        <v>27</v>
      </c>
      <c r="K752" t="s">
        <v>5845</v>
      </c>
      <c r="L752" t="s">
        <v>5840</v>
      </c>
      <c r="M752" t="s">
        <v>5846</v>
      </c>
      <c r="N752" t="s">
        <v>26</v>
      </c>
      <c r="O752" t="s">
        <v>5847</v>
      </c>
      <c r="P752" t="s">
        <v>26</v>
      </c>
      <c r="Q752" s="3" t="d">
        <v>2026-01-10</v>
      </c>
      <c r="R752" t="s">
        <v>4765</v>
      </c>
      <c r="S752" t="s">
        <v>5848</v>
      </c>
    </row>
    <row r="753" spans="1:19" x14ac:dyDescent="0.2">
      <c r="A753" t="s">
        <v>5849</v>
      </c>
      <c r="B753" t="s">
        <v>5849</v>
      </c>
      <c r="C753" t="s">
        <v>5850</v>
      </c>
      <c r="D753" t="s">
        <v>22</v>
      </c>
      <c r="E753" t="b">
        <v>0</v>
      </c>
      <c r="F753" t="s">
        <v>23</v>
      </c>
      <c r="G753" t="s">
        <v>5851</v>
      </c>
      <c r="H753" t="s">
        <v>339</v>
      </c>
      <c r="I753" s="2" t="d">
        <v>2023-01-01</v>
      </c>
      <c r="J753" t="s">
        <v>27</v>
      </c>
      <c r="K753" t="s">
        <v>5852</v>
      </c>
      <c r="L753" t="s">
        <v>5853</v>
      </c>
      <c r="M753" t="s">
        <v>5854</v>
      </c>
      <c r="N753" t="s">
        <v>5855</v>
      </c>
      <c r="O753" t="s">
        <v>5856</v>
      </c>
      <c r="P753" t="s">
        <v>26</v>
      </c>
      <c r="Q753" t="s">
        <v>54</v>
      </c>
      <c r="R753" t="s">
        <v>41</v>
      </c>
      <c r="S753" t="s">
        <v>5857</v>
      </c>
    </row>
    <row r="754" spans="1:19" x14ac:dyDescent="0.2">
      <c r="A754" t="s">
        <v>5858</v>
      </c>
      <c r="B754" t="s">
        <v>5858</v>
      </c>
      <c r="C754" t="s">
        <v>5859</v>
      </c>
      <c r="D754" t="s">
        <v>22</v>
      </c>
      <c r="E754" t="b">
        <v>0</v>
      </c>
      <c r="F754" t="s">
        <v>23</v>
      </c>
      <c r="G754" t="s">
        <v>5860</v>
      </c>
      <c r="H754" t="s">
        <v>5861</v>
      </c>
      <c r="I754" t="s">
        <v>26</v>
      </c>
      <c r="J754" t="s">
        <v>27</v>
      </c>
      <c r="K754" t="s">
        <v>5862</v>
      </c>
      <c r="L754" t="s">
        <v>5863</v>
      </c>
      <c r="M754" t="s">
        <v>5864</v>
      </c>
      <c r="N754" t="s">
        <v>26</v>
      </c>
      <c r="O754" t="s">
        <v>26</v>
      </c>
      <c r="P754" t="s">
        <v>26</v>
      </c>
      <c r="Q754" s="1" t="d">
        <v>1950-11-01</v>
      </c>
      <c r="R754" t="s">
        <v>2884</v>
      </c>
      <c r="S754" t="s">
        <v>5865</v>
      </c>
    </row>
    <row r="755" spans="1:19" x14ac:dyDescent="0.2">
      <c r="A755" t="s">
        <v>5866</v>
      </c>
      <c r="B755" t="s">
        <v>26</v>
      </c>
      <c r="C755" t="s">
        <v>5867</v>
      </c>
      <c r="D755" t="s">
        <v>26</v>
      </c>
      <c r="E755" t="s">
        <v>26</v>
      </c>
      <c r="F755" t="s">
        <v>26</v>
      </c>
      <c r="G755" t="s">
        <v>5868</v>
      </c>
      <c r="H755" t="s">
        <v>26</v>
      </c>
      <c r="I755" t="s">
        <v>26</v>
      </c>
      <c r="J755" t="s">
        <v>26</v>
      </c>
      <c r="K755" t="s">
        <v>5869</v>
      </c>
      <c r="L755" t="s">
        <v>5866</v>
      </c>
      <c r="M755" t="s">
        <v>26</v>
      </c>
      <c r="N755" t="s">
        <v>26</v>
      </c>
      <c r="O755" t="s">
        <v>26</v>
      </c>
      <c r="P755" t="s">
        <v>26</v>
      </c>
      <c r="Q755" t="s">
        <v>26</v>
      </c>
      <c r="R755" t="s">
        <v>5870</v>
      </c>
      <c r="S755" t="s">
        <v>5871</v>
      </c>
    </row>
    <row r="756" spans="1:19" x14ac:dyDescent="0.2">
      <c r="A756" t="s">
        <v>5872</v>
      </c>
      <c r="B756" t="s">
        <v>26</v>
      </c>
      <c r="C756" t="s">
        <v>5873</v>
      </c>
      <c r="D756" t="s">
        <v>26</v>
      </c>
      <c r="E756" t="s">
        <v>26</v>
      </c>
      <c r="F756" t="s">
        <v>26</v>
      </c>
      <c r="G756" t="s">
        <v>5874</v>
      </c>
      <c r="H756" t="s">
        <v>26</v>
      </c>
      <c r="I756" t="s">
        <v>26</v>
      </c>
      <c r="J756" t="s">
        <v>26</v>
      </c>
      <c r="K756" t="s">
        <v>5875</v>
      </c>
      <c r="L756" t="s">
        <v>5872</v>
      </c>
      <c r="M756" t="s">
        <v>26</v>
      </c>
      <c r="N756" t="s">
        <v>26</v>
      </c>
      <c r="O756" t="s">
        <v>26</v>
      </c>
      <c r="P756" t="s">
        <v>26</v>
      </c>
      <c r="Q756" t="s">
        <v>26</v>
      </c>
      <c r="R756" t="s">
        <v>5876</v>
      </c>
      <c r="S756" t="s">
        <v>5877</v>
      </c>
    </row>
    <row r="757" spans="1:19" x14ac:dyDescent="0.2">
      <c r="A757" t="s">
        <v>5878</v>
      </c>
      <c r="B757" t="s">
        <v>26</v>
      </c>
      <c r="C757" t="s">
        <v>5879</v>
      </c>
      <c r="D757" t="s">
        <v>26</v>
      </c>
      <c r="E757" t="s">
        <v>26</v>
      </c>
      <c r="F757" t="s">
        <v>26</v>
      </c>
      <c r="G757" t="s">
        <v>5880</v>
      </c>
      <c r="H757" t="s">
        <v>26</v>
      </c>
      <c r="I757" t="s">
        <v>26</v>
      </c>
      <c r="J757" t="s">
        <v>26</v>
      </c>
      <c r="K757" t="s">
        <v>5881</v>
      </c>
      <c r="L757" t="s">
        <v>5882</v>
      </c>
      <c r="M757" t="s">
        <v>26</v>
      </c>
      <c r="N757" t="s">
        <v>26</v>
      </c>
      <c r="O757" t="s">
        <v>26</v>
      </c>
      <c r="P757" t="s">
        <v>26</v>
      </c>
      <c r="Q757" t="s">
        <v>26</v>
      </c>
      <c r="R757" t="s">
        <v>5876</v>
      </c>
      <c r="S757" t="s">
        <v>5883</v>
      </c>
    </row>
    <row r="758" spans="1:19" x14ac:dyDescent="0.2">
      <c r="A758" t="s">
        <v>5884</v>
      </c>
      <c r="B758" t="s">
        <v>26</v>
      </c>
      <c r="C758" t="s">
        <v>5885</v>
      </c>
      <c r="D758" t="s">
        <v>26</v>
      </c>
      <c r="E758" t="s">
        <v>26</v>
      </c>
      <c r="F758" t="s">
        <v>26</v>
      </c>
      <c r="G758" t="s">
        <v>5886</v>
      </c>
      <c r="H758" t="s">
        <v>26</v>
      </c>
      <c r="I758" t="s">
        <v>26</v>
      </c>
      <c r="J758" t="s">
        <v>26</v>
      </c>
      <c r="K758" t="s">
        <v>5887</v>
      </c>
      <c r="L758" t="s">
        <v>26</v>
      </c>
      <c r="M758" t="s">
        <v>26</v>
      </c>
      <c r="N758" t="s">
        <v>26</v>
      </c>
      <c r="O758" t="s">
        <v>26</v>
      </c>
      <c r="P758" t="s">
        <v>26</v>
      </c>
      <c r="Q758" t="s">
        <v>26</v>
      </c>
      <c r="R758" t="s">
        <v>1061</v>
      </c>
      <c r="S758" t="s">
        <v>5888</v>
      </c>
    </row>
    <row r="759" spans="1:19" x14ac:dyDescent="0.2">
      <c r="A759" t="s">
        <v>5889</v>
      </c>
      <c r="B759" t="s">
        <v>26</v>
      </c>
      <c r="C759" t="s">
        <v>5890</v>
      </c>
      <c r="D759" t="s">
        <v>26</v>
      </c>
      <c r="E759" t="s">
        <v>26</v>
      </c>
      <c r="F759" t="s">
        <v>26</v>
      </c>
      <c r="G759" t="s">
        <v>5891</v>
      </c>
      <c r="H759" t="s">
        <v>26</v>
      </c>
      <c r="I759" t="s">
        <v>26</v>
      </c>
      <c r="J759" t="s">
        <v>26</v>
      </c>
      <c r="K759" t="s">
        <v>5892</v>
      </c>
      <c r="L759" t="s">
        <v>5889</v>
      </c>
      <c r="M759" t="s">
        <v>26</v>
      </c>
      <c r="N759" t="s">
        <v>26</v>
      </c>
      <c r="O759" t="s">
        <v>26</v>
      </c>
      <c r="P759" t="s">
        <v>26</v>
      </c>
      <c r="Q759" t="s">
        <v>26</v>
      </c>
      <c r="R759" t="s">
        <v>5893</v>
      </c>
      <c r="S759" t="s">
        <v>5894</v>
      </c>
    </row>
    <row r="760" spans="1:19" x14ac:dyDescent="0.2">
      <c r="A760" t="s">
        <v>5895</v>
      </c>
      <c r="B760" t="s">
        <v>26</v>
      </c>
      <c r="C760" t="s">
        <v>5896</v>
      </c>
      <c r="D760" t="s">
        <v>26</v>
      </c>
      <c r="E760" t="s">
        <v>26</v>
      </c>
      <c r="F760" t="s">
        <v>26</v>
      </c>
      <c r="G760" t="s">
        <v>5897</v>
      </c>
      <c r="H760" t="s">
        <v>26</v>
      </c>
      <c r="I760" t="s">
        <v>26</v>
      </c>
      <c r="J760" t="s">
        <v>26</v>
      </c>
      <c r="K760" t="s">
        <v>5898</v>
      </c>
      <c r="L760" t="s">
        <v>5899</v>
      </c>
      <c r="M760" t="s">
        <v>26</v>
      </c>
      <c r="N760" t="s">
        <v>26</v>
      </c>
      <c r="O760" t="s">
        <v>26</v>
      </c>
      <c r="P760" t="s">
        <v>26</v>
      </c>
      <c r="Q760" t="s">
        <v>26</v>
      </c>
      <c r="R760" t="s">
        <v>5900</v>
      </c>
      <c r="S760" t="s">
        <v>5901</v>
      </c>
    </row>
    <row r="761" spans="1:19" x14ac:dyDescent="0.2">
      <c r="A761" t="s">
        <v>5902</v>
      </c>
      <c r="B761" t="s">
        <v>5903</v>
      </c>
      <c r="C761" t="s">
        <v>5904</v>
      </c>
      <c r="D761" t="s">
        <v>22</v>
      </c>
      <c r="E761" t="b">
        <v>0</v>
      </c>
      <c r="F761" t="s">
        <v>23</v>
      </c>
      <c r="G761" t="s">
        <v>5905</v>
      </c>
      <c r="H761" t="s">
        <v>671</v>
      </c>
      <c r="I761" t="s">
        <v>26</v>
      </c>
      <c r="J761" t="s">
        <v>27</v>
      </c>
      <c r="K761" t="s">
        <v>5906</v>
      </c>
      <c r="L761" t="s">
        <v>5907</v>
      </c>
      <c r="M761" t="s">
        <v>5908</v>
      </c>
      <c r="N761" t="s">
        <v>5909</v>
      </c>
      <c r="O761" t="s">
        <v>5910</v>
      </c>
      <c r="P761" t="s">
        <v>26</v>
      </c>
      <c r="Q761" s="3" t="d">
        <v>2026-01-10</v>
      </c>
      <c r="R761" t="s">
        <v>5893</v>
      </c>
      <c r="S761" t="s">
        <v>5911</v>
      </c>
    </row>
    <row r="762" spans="1:19" x14ac:dyDescent="0.2">
      <c r="A762" t="s">
        <v>5912</v>
      </c>
      <c r="B762" t="s">
        <v>26</v>
      </c>
      <c r="C762" t="s">
        <v>5913</v>
      </c>
      <c r="D762" t="s">
        <v>26</v>
      </c>
      <c r="E762" t="s">
        <v>26</v>
      </c>
      <c r="F762" t="s">
        <v>26</v>
      </c>
      <c r="G762" t="s">
        <v>5914</v>
      </c>
      <c r="H762" t="s">
        <v>26</v>
      </c>
      <c r="I762" t="s">
        <v>26</v>
      </c>
      <c r="J762" t="s">
        <v>26</v>
      </c>
      <c r="K762" t="s">
        <v>5915</v>
      </c>
      <c r="L762" t="s">
        <v>5912</v>
      </c>
      <c r="M762" t="s">
        <v>5916</v>
      </c>
      <c r="N762" t="s">
        <v>26</v>
      </c>
      <c r="O762" t="s">
        <v>26</v>
      </c>
      <c r="P762" t="s">
        <v>26</v>
      </c>
      <c r="Q762" t="s">
        <v>26</v>
      </c>
      <c r="R762" t="s">
        <v>5917</v>
      </c>
      <c r="S762" t="s">
        <v>5918</v>
      </c>
    </row>
    <row r="763" spans="1:19" x14ac:dyDescent="0.2">
      <c r="A763" t="s">
        <v>5919</v>
      </c>
      <c r="B763" t="s">
        <v>5920</v>
      </c>
      <c r="C763" t="s">
        <v>5921</v>
      </c>
      <c r="D763" t="s">
        <v>22</v>
      </c>
      <c r="E763" t="b">
        <v>0</v>
      </c>
      <c r="F763" t="s">
        <v>23</v>
      </c>
      <c r="G763" t="s">
        <v>5922</v>
      </c>
      <c r="H763" t="s">
        <v>5923</v>
      </c>
      <c r="I763" t="s">
        <v>26</v>
      </c>
      <c r="J763" t="s">
        <v>27</v>
      </c>
      <c r="K763" t="s">
        <v>5924</v>
      </c>
      <c r="L763" t="s">
        <v>5925</v>
      </c>
      <c r="M763" t="s">
        <v>5926</v>
      </c>
      <c r="N763" t="s">
        <v>26</v>
      </c>
      <c r="O763" t="s">
        <v>5927</v>
      </c>
      <c r="P763" t="s">
        <v>5928</v>
      </c>
      <c r="Q763" s="3" t="d">
        <v>2026-01-10</v>
      </c>
      <c r="R763" t="s">
        <v>1977</v>
      </c>
      <c r="S763" t="s">
        <v>5929</v>
      </c>
    </row>
    <row r="764" spans="1:19" x14ac:dyDescent="0.2">
      <c r="A764" t="s">
        <v>5930</v>
      </c>
      <c r="B764" t="s">
        <v>26</v>
      </c>
      <c r="C764" t="s">
        <v>5931</v>
      </c>
      <c r="D764" t="s">
        <v>26</v>
      </c>
      <c r="E764" t="s">
        <v>26</v>
      </c>
      <c r="F764" t="s">
        <v>26</v>
      </c>
      <c r="G764" t="s">
        <v>5932</v>
      </c>
      <c r="H764" t="s">
        <v>26</v>
      </c>
      <c r="I764" t="s">
        <v>26</v>
      </c>
      <c r="J764" t="s">
        <v>26</v>
      </c>
      <c r="K764" t="s">
        <v>5933</v>
      </c>
      <c r="L764" t="s">
        <v>5930</v>
      </c>
      <c r="M764" t="s">
        <v>5934</v>
      </c>
      <c r="N764" t="s">
        <v>26</v>
      </c>
      <c r="O764" t="s">
        <v>26</v>
      </c>
      <c r="P764" t="s">
        <v>26</v>
      </c>
      <c r="Q764" t="s">
        <v>26</v>
      </c>
      <c r="R764" t="s">
        <v>5917</v>
      </c>
      <c r="S764" t="s">
        <v>5935</v>
      </c>
    </row>
    <row r="765" spans="1:19" x14ac:dyDescent="0.2">
      <c r="A765" t="s">
        <v>5936</v>
      </c>
      <c r="B765" t="s">
        <v>26</v>
      </c>
      <c r="C765" t="s">
        <v>5937</v>
      </c>
      <c r="D765" t="s">
        <v>26</v>
      </c>
      <c r="E765" t="s">
        <v>26</v>
      </c>
      <c r="F765" t="s">
        <v>26</v>
      </c>
      <c r="G765" t="s">
        <v>5938</v>
      </c>
      <c r="H765" t="s">
        <v>26</v>
      </c>
      <c r="I765" t="s">
        <v>26</v>
      </c>
      <c r="J765" t="s">
        <v>26</v>
      </c>
      <c r="K765" t="s">
        <v>5939</v>
      </c>
      <c r="L765" t="s">
        <v>5940</v>
      </c>
      <c r="M765" t="s">
        <v>5941</v>
      </c>
      <c r="N765" t="s">
        <v>26</v>
      </c>
      <c r="O765" t="s">
        <v>26</v>
      </c>
      <c r="P765" t="s">
        <v>26</v>
      </c>
      <c r="Q765" t="s">
        <v>26</v>
      </c>
      <c r="R765" t="s">
        <v>5942</v>
      </c>
      <c r="S765" t="s">
        <v>5943</v>
      </c>
    </row>
    <row r="766" spans="1:19" x14ac:dyDescent="0.2">
      <c r="A766" t="s">
        <v>5944</v>
      </c>
      <c r="B766" t="s">
        <v>26</v>
      </c>
      <c r="C766" t="s">
        <v>5945</v>
      </c>
      <c r="D766" t="s">
        <v>26</v>
      </c>
      <c r="E766" t="s">
        <v>26</v>
      </c>
      <c r="F766" t="s">
        <v>26</v>
      </c>
      <c r="G766" t="s">
        <v>5946</v>
      </c>
      <c r="H766" t="s">
        <v>26</v>
      </c>
      <c r="I766" t="s">
        <v>26</v>
      </c>
      <c r="J766" t="s">
        <v>26</v>
      </c>
      <c r="K766" t="s">
        <v>5947</v>
      </c>
      <c r="L766" t="s">
        <v>5948</v>
      </c>
      <c r="M766" t="s">
        <v>5949</v>
      </c>
      <c r="N766" t="s">
        <v>26</v>
      </c>
      <c r="O766" t="s">
        <v>26</v>
      </c>
      <c r="P766" t="s">
        <v>26</v>
      </c>
      <c r="Q766" t="s">
        <v>26</v>
      </c>
      <c r="R766" t="s">
        <v>5950</v>
      </c>
      <c r="S766" t="s">
        <v>5951</v>
      </c>
    </row>
    <row r="767" spans="1:19" x14ac:dyDescent="0.2">
      <c r="A767" t="s">
        <v>5952</v>
      </c>
      <c r="B767" t="s">
        <v>26</v>
      </c>
      <c r="C767" t="s">
        <v>5953</v>
      </c>
      <c r="D767" t="s">
        <v>26</v>
      </c>
      <c r="E767" t="s">
        <v>26</v>
      </c>
      <c r="F767" t="s">
        <v>26</v>
      </c>
      <c r="G767" t="s">
        <v>5954</v>
      </c>
      <c r="H767" t="s">
        <v>26</v>
      </c>
      <c r="I767" t="s">
        <v>26</v>
      </c>
      <c r="J767" t="s">
        <v>26</v>
      </c>
      <c r="K767" t="s">
        <v>5955</v>
      </c>
      <c r="L767" t="s">
        <v>26</v>
      </c>
      <c r="M767" t="s">
        <v>26</v>
      </c>
      <c r="N767" t="s">
        <v>26</v>
      </c>
      <c r="O767" t="s">
        <v>26</v>
      </c>
      <c r="P767" t="s">
        <v>26</v>
      </c>
      <c r="Q767" t="s">
        <v>26</v>
      </c>
      <c r="R767" t="s">
        <v>1977</v>
      </c>
      <c r="S767" t="s">
        <v>5956</v>
      </c>
    </row>
    <row r="768" spans="1:19" x14ac:dyDescent="0.2">
      <c r="A768" t="s">
        <v>5957</v>
      </c>
      <c r="B768" t="s">
        <v>26</v>
      </c>
      <c r="C768" t="s">
        <v>5958</v>
      </c>
      <c r="D768" t="s">
        <v>26</v>
      </c>
      <c r="E768" t="s">
        <v>26</v>
      </c>
      <c r="F768" t="s">
        <v>26</v>
      </c>
      <c r="G768" t="s">
        <v>5959</v>
      </c>
      <c r="H768" t="s">
        <v>26</v>
      </c>
      <c r="I768" t="s">
        <v>26</v>
      </c>
      <c r="J768" t="s">
        <v>26</v>
      </c>
      <c r="K768" t="s">
        <v>5960</v>
      </c>
      <c r="L768" t="s">
        <v>26</v>
      </c>
      <c r="M768" t="s">
        <v>26</v>
      </c>
      <c r="N768" t="s">
        <v>5961</v>
      </c>
      <c r="O768" t="s">
        <v>26</v>
      </c>
      <c r="P768" t="s">
        <v>26</v>
      </c>
      <c r="Q768" t="s">
        <v>26</v>
      </c>
      <c r="R768" t="s">
        <v>5942</v>
      </c>
      <c r="S768" t="s">
        <v>5962</v>
      </c>
    </row>
    <row r="769" spans="1:19" x14ac:dyDescent="0.2">
      <c r="A769" t="s">
        <v>5963</v>
      </c>
      <c r="B769" t="s">
        <v>26</v>
      </c>
      <c r="C769" t="s">
        <v>5964</v>
      </c>
      <c r="D769" t="s">
        <v>26</v>
      </c>
      <c r="E769" t="s">
        <v>26</v>
      </c>
      <c r="F769" t="s">
        <v>26</v>
      </c>
      <c r="G769" t="s">
        <v>5965</v>
      </c>
      <c r="H769" t="s">
        <v>26</v>
      </c>
      <c r="I769" t="s">
        <v>26</v>
      </c>
      <c r="J769" t="s">
        <v>26</v>
      </c>
      <c r="K769" t="s">
        <v>5966</v>
      </c>
      <c r="L769" t="s">
        <v>5967</v>
      </c>
      <c r="M769" t="s">
        <v>26</v>
      </c>
      <c r="N769" t="s">
        <v>26</v>
      </c>
      <c r="O769" t="s">
        <v>26</v>
      </c>
      <c r="P769" t="s">
        <v>26</v>
      </c>
      <c r="Q769" t="s">
        <v>26</v>
      </c>
      <c r="R769" t="s">
        <v>5917</v>
      </c>
      <c r="S769" t="s">
        <v>5968</v>
      </c>
    </row>
    <row r="770" spans="1:19" x14ac:dyDescent="0.2">
      <c r="A770" t="s">
        <v>5969</v>
      </c>
      <c r="B770" t="s">
        <v>26</v>
      </c>
      <c r="C770" t="s">
        <v>5970</v>
      </c>
      <c r="D770" t="s">
        <v>26</v>
      </c>
      <c r="E770" t="s">
        <v>26</v>
      </c>
      <c r="F770" t="s">
        <v>26</v>
      </c>
      <c r="G770" t="s">
        <v>5971</v>
      </c>
      <c r="H770" t="s">
        <v>26</v>
      </c>
      <c r="I770" t="s">
        <v>26</v>
      </c>
      <c r="J770" t="s">
        <v>26</v>
      </c>
      <c r="K770" t="s">
        <v>5972</v>
      </c>
      <c r="L770" t="s">
        <v>5973</v>
      </c>
      <c r="M770" t="s">
        <v>26</v>
      </c>
      <c r="N770" t="s">
        <v>26</v>
      </c>
      <c r="O770" t="s">
        <v>26</v>
      </c>
      <c r="P770" t="s">
        <v>26</v>
      </c>
      <c r="Q770" t="s">
        <v>26</v>
      </c>
      <c r="R770" t="s">
        <v>5950</v>
      </c>
      <c r="S770" t="s">
        <v>5974</v>
      </c>
    </row>
    <row r="771" spans="1:19" x14ac:dyDescent="0.2">
      <c r="A771" t="s">
        <v>5975</v>
      </c>
      <c r="B771" t="s">
        <v>26</v>
      </c>
      <c r="C771" t="s">
        <v>5976</v>
      </c>
      <c r="D771" t="s">
        <v>26</v>
      </c>
      <c r="E771" t="s">
        <v>26</v>
      </c>
      <c r="F771" t="s">
        <v>26</v>
      </c>
      <c r="G771" t="s">
        <v>5977</v>
      </c>
      <c r="H771" t="s">
        <v>26</v>
      </c>
      <c r="I771" t="s">
        <v>26</v>
      </c>
      <c r="J771" t="s">
        <v>26</v>
      </c>
      <c r="K771" t="s">
        <v>5978</v>
      </c>
      <c r="L771" t="s">
        <v>5979</v>
      </c>
      <c r="M771" t="s">
        <v>5980</v>
      </c>
      <c r="N771" t="s">
        <v>26</v>
      </c>
      <c r="O771" t="s">
        <v>26</v>
      </c>
      <c r="P771" t="s">
        <v>26</v>
      </c>
      <c r="Q771" t="s">
        <v>26</v>
      </c>
      <c r="R771" t="s">
        <v>4490</v>
      </c>
      <c r="S771" t="s">
        <v>5981</v>
      </c>
    </row>
    <row r="772" spans="1:19" x14ac:dyDescent="0.2">
      <c r="A772" t="s">
        <v>5982</v>
      </c>
      <c r="B772" t="s">
        <v>5982</v>
      </c>
      <c r="C772" t="s">
        <v>5983</v>
      </c>
      <c r="D772" t="s">
        <v>22</v>
      </c>
      <c r="E772" t="b">
        <v>0</v>
      </c>
      <c r="F772" t="s">
        <v>23</v>
      </c>
      <c r="G772" t="s">
        <v>5984</v>
      </c>
      <c r="H772" t="s">
        <v>2749</v>
      </c>
      <c r="I772" s="2" t="d">
        <v>2020-10-01</v>
      </c>
      <c r="J772" t="s">
        <v>27</v>
      </c>
      <c r="K772" t="s">
        <v>5985</v>
      </c>
      <c r="L772" t="s">
        <v>5982</v>
      </c>
      <c r="M772" t="s">
        <v>5986</v>
      </c>
      <c r="N772" t="s">
        <v>26</v>
      </c>
      <c r="O772" t="s">
        <v>5987</v>
      </c>
      <c r="P772" t="s">
        <v>5988</v>
      </c>
      <c r="Q772" s="3" t="d">
        <v>2026-01-10</v>
      </c>
      <c r="R772" t="s">
        <v>41</v>
      </c>
      <c r="S772" t="s">
        <v>5989</v>
      </c>
    </row>
    <row r="773" spans="1:19" x14ac:dyDescent="0.2">
      <c r="A773" t="s">
        <v>5990</v>
      </c>
      <c r="B773" t="s">
        <v>5991</v>
      </c>
      <c r="C773" t="s">
        <v>5992</v>
      </c>
      <c r="D773" t="s">
        <v>22</v>
      </c>
      <c r="E773" t="b">
        <v>0</v>
      </c>
      <c r="F773" t="s">
        <v>26</v>
      </c>
      <c r="G773" t="s">
        <v>5993</v>
      </c>
      <c r="H773" t="s">
        <v>5994</v>
      </c>
      <c r="I773" t="s">
        <v>26</v>
      </c>
      <c r="J773" t="s">
        <v>27</v>
      </c>
      <c r="K773" t="s">
        <v>5995</v>
      </c>
      <c r="L773" t="s">
        <v>5990</v>
      </c>
      <c r="M773" t="s">
        <v>26</v>
      </c>
      <c r="N773" t="s">
        <v>26</v>
      </c>
      <c r="O773" t="s">
        <v>5996</v>
      </c>
      <c r="P773" t="s">
        <v>26</v>
      </c>
      <c r="Q773" s="3" t="d">
        <v>2026-01-10</v>
      </c>
      <c r="R773" t="s">
        <v>2758</v>
      </c>
      <c r="S773" t="s">
        <v>5997</v>
      </c>
    </row>
    <row r="774" spans="1:19" x14ac:dyDescent="0.2">
      <c r="A774" t="s">
        <v>5998</v>
      </c>
      <c r="B774" t="s">
        <v>26</v>
      </c>
      <c r="C774" t="s">
        <v>5999</v>
      </c>
      <c r="D774" t="s">
        <v>26</v>
      </c>
      <c r="E774" t="s">
        <v>26</v>
      </c>
      <c r="F774" t="s">
        <v>26</v>
      </c>
      <c r="G774" t="s">
        <v>6000</v>
      </c>
      <c r="H774" t="s">
        <v>26</v>
      </c>
      <c r="I774" t="s">
        <v>26</v>
      </c>
      <c r="J774" t="s">
        <v>26</v>
      </c>
      <c r="K774" t="s">
        <v>6001</v>
      </c>
      <c r="L774" t="s">
        <v>26</v>
      </c>
      <c r="M774" t="s">
        <v>26</v>
      </c>
      <c r="N774" t="s">
        <v>26</v>
      </c>
      <c r="O774" t="s">
        <v>26</v>
      </c>
      <c r="P774" t="s">
        <v>26</v>
      </c>
      <c r="Q774" t="s">
        <v>26</v>
      </c>
      <c r="R774" t="s">
        <v>2758</v>
      </c>
      <c r="S774" t="s">
        <v>6002</v>
      </c>
    </row>
    <row r="775" spans="1:19" x14ac:dyDescent="0.2">
      <c r="A775" t="s">
        <v>6003</v>
      </c>
      <c r="B775" t="s">
        <v>6003</v>
      </c>
      <c r="C775" t="s">
        <v>6004</v>
      </c>
      <c r="D775" t="s">
        <v>22</v>
      </c>
      <c r="E775" t="b">
        <v>0</v>
      </c>
      <c r="F775" t="s">
        <v>23</v>
      </c>
      <c r="G775" t="s">
        <v>6005</v>
      </c>
      <c r="H775" t="s">
        <v>6006</v>
      </c>
      <c r="I775" t="s">
        <v>26</v>
      </c>
      <c r="J775" t="s">
        <v>27</v>
      </c>
      <c r="K775" t="s">
        <v>6007</v>
      </c>
      <c r="L775" t="s">
        <v>6008</v>
      </c>
      <c r="M775" t="s">
        <v>6009</v>
      </c>
      <c r="N775" t="s">
        <v>6010</v>
      </c>
      <c r="O775" t="s">
        <v>6011</v>
      </c>
      <c r="P775" t="s">
        <v>6012</v>
      </c>
      <c r="Q775" t="s">
        <v>40</v>
      </c>
      <c r="R775" t="s">
        <v>2758</v>
      </c>
      <c r="S775" t="s">
        <v>6013</v>
      </c>
    </row>
    <row r="776" spans="1:19" x14ac:dyDescent="0.2">
      <c r="A776" t="s">
        <v>6014</v>
      </c>
      <c r="B776" t="s">
        <v>26</v>
      </c>
      <c r="C776" t="s">
        <v>6015</v>
      </c>
      <c r="D776" t="s">
        <v>26</v>
      </c>
      <c r="E776" t="s">
        <v>26</v>
      </c>
      <c r="F776" t="s">
        <v>26</v>
      </c>
      <c r="G776" t="s">
        <v>6016</v>
      </c>
      <c r="H776" t="s">
        <v>26</v>
      </c>
      <c r="I776" t="s">
        <v>26</v>
      </c>
      <c r="J776" t="s">
        <v>26</v>
      </c>
      <c r="K776" t="s">
        <v>6017</v>
      </c>
      <c r="L776" t="s">
        <v>6018</v>
      </c>
      <c r="M776" t="s">
        <v>6019</v>
      </c>
      <c r="N776" t="s">
        <v>26</v>
      </c>
      <c r="O776" t="s">
        <v>26</v>
      </c>
      <c r="P776" t="s">
        <v>26</v>
      </c>
      <c r="Q776" t="s">
        <v>26</v>
      </c>
      <c r="R776" t="s">
        <v>1988</v>
      </c>
      <c r="S776" t="s">
        <v>6020</v>
      </c>
    </row>
    <row r="777" spans="1:19" x14ac:dyDescent="0.2">
      <c r="A777" t="s">
        <v>6021</v>
      </c>
      <c r="B777" t="s">
        <v>26</v>
      </c>
      <c r="C777" t="s">
        <v>6022</v>
      </c>
      <c r="D777" t="s">
        <v>26</v>
      </c>
      <c r="E777" t="s">
        <v>26</v>
      </c>
      <c r="F777" t="s">
        <v>26</v>
      </c>
      <c r="G777" t="s">
        <v>6023</v>
      </c>
      <c r="H777" t="s">
        <v>26</v>
      </c>
      <c r="I777" t="s">
        <v>26</v>
      </c>
      <c r="J777" t="s">
        <v>26</v>
      </c>
      <c r="K777" t="s">
        <v>6024</v>
      </c>
      <c r="L777" t="s">
        <v>6025</v>
      </c>
      <c r="M777" t="s">
        <v>26</v>
      </c>
      <c r="N777" t="s">
        <v>26</v>
      </c>
      <c r="O777" t="s">
        <v>26</v>
      </c>
      <c r="P777" t="s">
        <v>26</v>
      </c>
      <c r="Q777" t="s">
        <v>26</v>
      </c>
      <c r="R777" t="s">
        <v>6026</v>
      </c>
      <c r="S777" t="s">
        <v>6027</v>
      </c>
    </row>
    <row r="778" spans="1:19" x14ac:dyDescent="0.2">
      <c r="A778" t="s">
        <v>6028</v>
      </c>
      <c r="B778" t="s">
        <v>6028</v>
      </c>
      <c r="C778" t="s">
        <v>6029</v>
      </c>
      <c r="D778" t="s">
        <v>22</v>
      </c>
      <c r="E778" t="b">
        <v>0</v>
      </c>
      <c r="F778" t="s">
        <v>23</v>
      </c>
      <c r="G778" t="s">
        <v>6030</v>
      </c>
      <c r="H778" t="s">
        <v>6031</v>
      </c>
      <c r="I778" t="s">
        <v>26</v>
      </c>
      <c r="J778" t="s">
        <v>27</v>
      </c>
      <c r="K778" t="s">
        <v>6032</v>
      </c>
      <c r="L778" t="s">
        <v>6033</v>
      </c>
      <c r="M778" t="s">
        <v>6034</v>
      </c>
      <c r="N778" t="s">
        <v>26</v>
      </c>
      <c r="O778" t="s">
        <v>26</v>
      </c>
      <c r="P778" t="s">
        <v>26</v>
      </c>
      <c r="Q778" t="s">
        <v>26</v>
      </c>
      <c r="R778" t="s">
        <v>1988</v>
      </c>
      <c r="S778" t="s">
        <v>6035</v>
      </c>
    </row>
    <row r="779" spans="1:19" x14ac:dyDescent="0.2">
      <c r="A779" t="s">
        <v>6036</v>
      </c>
      <c r="B779" t="s">
        <v>26</v>
      </c>
      <c r="C779" t="s">
        <v>6037</v>
      </c>
      <c r="D779" t="s">
        <v>26</v>
      </c>
      <c r="E779" t="s">
        <v>26</v>
      </c>
      <c r="F779" t="s">
        <v>26</v>
      </c>
      <c r="G779" t="s">
        <v>6038</v>
      </c>
      <c r="H779" t="s">
        <v>26</v>
      </c>
      <c r="I779" t="s">
        <v>26</v>
      </c>
      <c r="J779" t="s">
        <v>26</v>
      </c>
      <c r="K779" t="s">
        <v>6039</v>
      </c>
      <c r="L779" t="s">
        <v>6040</v>
      </c>
      <c r="M779" t="s">
        <v>6041</v>
      </c>
      <c r="N779" t="s">
        <v>6042</v>
      </c>
      <c r="O779" t="s">
        <v>26</v>
      </c>
      <c r="P779" t="s">
        <v>26</v>
      </c>
      <c r="Q779" t="s">
        <v>26</v>
      </c>
      <c r="R779" t="s">
        <v>1988</v>
      </c>
      <c r="S779" t="s">
        <v>6043</v>
      </c>
    </row>
    <row r="780" spans="1:19" x14ac:dyDescent="0.2">
      <c r="A780" t="s">
        <v>6044</v>
      </c>
      <c r="B780" t="s">
        <v>26</v>
      </c>
      <c r="C780" t="s">
        <v>6045</v>
      </c>
      <c r="D780" t="s">
        <v>26</v>
      </c>
      <c r="E780" t="s">
        <v>26</v>
      </c>
      <c r="F780" t="s">
        <v>26</v>
      </c>
      <c r="G780" t="s">
        <v>6046</v>
      </c>
      <c r="H780" t="s">
        <v>26</v>
      </c>
      <c r="I780" t="s">
        <v>26</v>
      </c>
      <c r="J780" t="s">
        <v>26</v>
      </c>
      <c r="K780" t="s">
        <v>6047</v>
      </c>
      <c r="L780" t="s">
        <v>26</v>
      </c>
      <c r="M780" t="s">
        <v>26</v>
      </c>
      <c r="N780" t="s">
        <v>26</v>
      </c>
      <c r="O780" t="s">
        <v>26</v>
      </c>
      <c r="P780" t="s">
        <v>26</v>
      </c>
      <c r="Q780" t="s">
        <v>26</v>
      </c>
      <c r="R780" t="s">
        <v>6026</v>
      </c>
      <c r="S780" t="s">
        <v>6048</v>
      </c>
    </row>
    <row r="781" spans="1:19" x14ac:dyDescent="0.2">
      <c r="A781" t="s">
        <v>6049</v>
      </c>
      <c r="B781" t="s">
        <v>26</v>
      </c>
      <c r="C781" t="s">
        <v>6050</v>
      </c>
      <c r="D781" t="s">
        <v>26</v>
      </c>
      <c r="E781" t="s">
        <v>26</v>
      </c>
      <c r="F781" t="s">
        <v>26</v>
      </c>
      <c r="G781" t="s">
        <v>6051</v>
      </c>
      <c r="H781" t="s">
        <v>26</v>
      </c>
      <c r="I781" t="s">
        <v>26</v>
      </c>
      <c r="J781" t="s">
        <v>26</v>
      </c>
      <c r="K781" t="s">
        <v>6052</v>
      </c>
      <c r="L781" t="s">
        <v>6053</v>
      </c>
      <c r="M781" t="s">
        <v>26</v>
      </c>
      <c r="N781" t="s">
        <v>26</v>
      </c>
      <c r="O781" t="s">
        <v>26</v>
      </c>
      <c r="P781" t="s">
        <v>26</v>
      </c>
      <c r="Q781" t="s">
        <v>26</v>
      </c>
      <c r="R781" t="s">
        <v>1988</v>
      </c>
      <c r="S781" t="s">
        <v>6054</v>
      </c>
    </row>
    <row r="782" spans="1:19" x14ac:dyDescent="0.2">
      <c r="A782" t="s">
        <v>6055</v>
      </c>
      <c r="B782" t="s">
        <v>6055</v>
      </c>
      <c r="C782" t="s">
        <v>6056</v>
      </c>
      <c r="D782" t="s">
        <v>22</v>
      </c>
      <c r="E782" t="b">
        <v>0</v>
      </c>
      <c r="F782" t="s">
        <v>23</v>
      </c>
      <c r="G782" t="s">
        <v>6057</v>
      </c>
      <c r="H782" t="s">
        <v>212</v>
      </c>
      <c r="I782" t="s">
        <v>26</v>
      </c>
      <c r="J782" t="s">
        <v>27</v>
      </c>
      <c r="K782" t="s">
        <v>6058</v>
      </c>
      <c r="L782" t="s">
        <v>6059</v>
      </c>
      <c r="M782" t="s">
        <v>26</v>
      </c>
      <c r="N782" t="s">
        <v>26</v>
      </c>
      <c r="O782" t="s">
        <v>6060</v>
      </c>
      <c r="P782" t="s">
        <v>6061</v>
      </c>
      <c r="Q782" s="3" t="d">
        <v>2026-01-10</v>
      </c>
      <c r="R782" t="s">
        <v>6062</v>
      </c>
      <c r="S782" t="s">
        <v>6063</v>
      </c>
    </row>
    <row r="783" spans="1:19" x14ac:dyDescent="0.2">
      <c r="A783" t="s">
        <v>6064</v>
      </c>
      <c r="B783" t="s">
        <v>6065</v>
      </c>
      <c r="C783" t="s">
        <v>6066</v>
      </c>
      <c r="D783" t="s">
        <v>22</v>
      </c>
      <c r="E783" t="b">
        <v>0</v>
      </c>
      <c r="F783" t="s">
        <v>23</v>
      </c>
      <c r="G783" t="s">
        <v>6067</v>
      </c>
      <c r="H783" t="s">
        <v>5808</v>
      </c>
      <c r="I783" t="s">
        <v>26</v>
      </c>
      <c r="J783" t="s">
        <v>27</v>
      </c>
      <c r="K783" t="s">
        <v>6068</v>
      </c>
      <c r="L783" t="s">
        <v>6065</v>
      </c>
      <c r="M783" t="s">
        <v>6069</v>
      </c>
      <c r="N783" t="s">
        <v>26</v>
      </c>
      <c r="O783" t="s">
        <v>26</v>
      </c>
      <c r="P783" t="s">
        <v>26</v>
      </c>
      <c r="Q783" s="1" t="d">
        <v>1950-11-01</v>
      </c>
      <c r="R783" t="s">
        <v>4765</v>
      </c>
      <c r="S783" t="s">
        <v>6070</v>
      </c>
    </row>
    <row r="784" spans="1:19" x14ac:dyDescent="0.2">
      <c r="A784" t="s">
        <v>6071</v>
      </c>
      <c r="B784" t="s">
        <v>6072</v>
      </c>
      <c r="C784" t="s">
        <v>6073</v>
      </c>
      <c r="D784" t="s">
        <v>22</v>
      </c>
      <c r="E784" t="b">
        <v>0</v>
      </c>
      <c r="F784" t="s">
        <v>23</v>
      </c>
      <c r="G784" t="s">
        <v>6074</v>
      </c>
      <c r="H784" t="s">
        <v>6075</v>
      </c>
      <c r="I784" t="s">
        <v>26</v>
      </c>
      <c r="J784" t="s">
        <v>27</v>
      </c>
      <c r="K784" t="s">
        <v>6076</v>
      </c>
      <c r="L784" t="s">
        <v>6077</v>
      </c>
      <c r="M784" t="s">
        <v>26</v>
      </c>
      <c r="N784" t="s">
        <v>26</v>
      </c>
      <c r="O784" t="s">
        <v>26</v>
      </c>
      <c r="P784" t="s">
        <v>26</v>
      </c>
      <c r="Q784" t="s">
        <v>54</v>
      </c>
      <c r="R784" t="s">
        <v>6078</v>
      </c>
      <c r="S784" t="s">
        <v>6079</v>
      </c>
    </row>
    <row r="785" spans="1:19" x14ac:dyDescent="0.2">
      <c r="A785" t="s">
        <v>6080</v>
      </c>
      <c r="B785" t="s">
        <v>26</v>
      </c>
      <c r="C785" t="s">
        <v>6081</v>
      </c>
      <c r="D785" t="s">
        <v>26</v>
      </c>
      <c r="E785" t="s">
        <v>26</v>
      </c>
      <c r="F785" t="s">
        <v>26</v>
      </c>
      <c r="G785" t="s">
        <v>6082</v>
      </c>
      <c r="H785" t="s">
        <v>26</v>
      </c>
      <c r="I785" t="s">
        <v>26</v>
      </c>
      <c r="J785" t="s">
        <v>26</v>
      </c>
      <c r="K785" t="s">
        <v>6083</v>
      </c>
      <c r="L785" t="s">
        <v>6080</v>
      </c>
      <c r="M785" t="s">
        <v>26</v>
      </c>
      <c r="N785" t="s">
        <v>26</v>
      </c>
      <c r="O785" t="s">
        <v>26</v>
      </c>
      <c r="P785" t="s">
        <v>26</v>
      </c>
      <c r="Q785" t="s">
        <v>26</v>
      </c>
      <c r="R785" t="s">
        <v>2756</v>
      </c>
      <c r="S785" t="s">
        <v>6084</v>
      </c>
    </row>
    <row r="786" spans="1:19" x14ac:dyDescent="0.2">
      <c r="A786" t="s">
        <v>6085</v>
      </c>
      <c r="B786" t="s">
        <v>6086</v>
      </c>
      <c r="C786" t="s">
        <v>6087</v>
      </c>
      <c r="D786" t="s">
        <v>22</v>
      </c>
      <c r="E786" t="b">
        <v>0</v>
      </c>
      <c r="F786" t="s">
        <v>26</v>
      </c>
      <c r="G786" t="s">
        <v>6088</v>
      </c>
      <c r="H786" t="s">
        <v>6089</v>
      </c>
      <c r="I786" t="s">
        <v>26</v>
      </c>
      <c r="J786" t="s">
        <v>27</v>
      </c>
      <c r="K786" t="s">
        <v>6090</v>
      </c>
      <c r="L786" t="s">
        <v>6091</v>
      </c>
      <c r="M786" t="s">
        <v>6092</v>
      </c>
      <c r="N786" t="s">
        <v>26</v>
      </c>
      <c r="O786" t="s">
        <v>26</v>
      </c>
      <c r="P786" t="s">
        <v>26</v>
      </c>
      <c r="Q786" s="1" t="d">
        <v>1950-11-01</v>
      </c>
      <c r="R786" t="s">
        <v>6062</v>
      </c>
      <c r="S786" t="s">
        <v>6093</v>
      </c>
    </row>
    <row r="787" spans="1:19" x14ac:dyDescent="0.2">
      <c r="A787" t="s">
        <v>6094</v>
      </c>
      <c r="B787" t="s">
        <v>26</v>
      </c>
      <c r="C787" t="s">
        <v>6095</v>
      </c>
      <c r="D787" t="s">
        <v>26</v>
      </c>
      <c r="E787" t="s">
        <v>26</v>
      </c>
      <c r="F787" t="s">
        <v>26</v>
      </c>
      <c r="G787" t="s">
        <v>6096</v>
      </c>
      <c r="H787" t="s">
        <v>26</v>
      </c>
      <c r="I787" t="s">
        <v>26</v>
      </c>
      <c r="J787" t="s">
        <v>26</v>
      </c>
      <c r="K787" t="s">
        <v>6097</v>
      </c>
      <c r="L787" t="s">
        <v>6094</v>
      </c>
      <c r="M787" t="s">
        <v>26</v>
      </c>
      <c r="N787" t="s">
        <v>26</v>
      </c>
      <c r="O787" t="s">
        <v>26</v>
      </c>
      <c r="P787" t="s">
        <v>26</v>
      </c>
      <c r="Q787" t="s">
        <v>26</v>
      </c>
      <c r="R787" t="s">
        <v>6026</v>
      </c>
      <c r="S787" t="s">
        <v>6098</v>
      </c>
    </row>
    <row r="788" spans="1:19" x14ac:dyDescent="0.2">
      <c r="A788" t="s">
        <v>6099</v>
      </c>
      <c r="B788" t="s">
        <v>26</v>
      </c>
      <c r="C788" t="s">
        <v>6099</v>
      </c>
      <c r="D788" t="s">
        <v>26</v>
      </c>
      <c r="E788" t="s">
        <v>26</v>
      </c>
      <c r="F788" t="s">
        <v>26</v>
      </c>
      <c r="G788" t="s">
        <v>6100</v>
      </c>
      <c r="H788" t="s">
        <v>26</v>
      </c>
      <c r="I788" t="s">
        <v>26</v>
      </c>
      <c r="J788" t="s">
        <v>26</v>
      </c>
      <c r="K788" t="s">
        <v>6101</v>
      </c>
      <c r="L788" t="s">
        <v>6099</v>
      </c>
      <c r="M788" t="s">
        <v>26</v>
      </c>
      <c r="N788" t="s">
        <v>26</v>
      </c>
      <c r="O788" t="s">
        <v>26</v>
      </c>
      <c r="P788" t="s">
        <v>26</v>
      </c>
      <c r="Q788" t="s">
        <v>26</v>
      </c>
      <c r="R788" t="s">
        <v>6062</v>
      </c>
      <c r="S788" t="s">
        <v>6102</v>
      </c>
    </row>
    <row r="789" spans="1:19" x14ac:dyDescent="0.2">
      <c r="A789" t="s">
        <v>6103</v>
      </c>
      <c r="B789" t="s">
        <v>6104</v>
      </c>
      <c r="C789" t="s">
        <v>6105</v>
      </c>
      <c r="D789" t="s">
        <v>22</v>
      </c>
      <c r="E789" t="b">
        <v>0</v>
      </c>
      <c r="F789" t="s">
        <v>6106</v>
      </c>
      <c r="G789" t="s">
        <v>6107</v>
      </c>
      <c r="H789" t="s">
        <v>1063</v>
      </c>
      <c r="I789" t="s">
        <v>26</v>
      </c>
      <c r="J789" t="s">
        <v>27</v>
      </c>
      <c r="K789" t="s">
        <v>6108</v>
      </c>
      <c r="L789" t="s">
        <v>6103</v>
      </c>
      <c r="M789" t="s">
        <v>26</v>
      </c>
      <c r="N789" t="s">
        <v>6109</v>
      </c>
      <c r="O789" t="s">
        <v>6110</v>
      </c>
      <c r="P789" t="s">
        <v>26</v>
      </c>
      <c r="Q789" s="3" t="d">
        <v>2026-01-10</v>
      </c>
      <c r="R789" t="s">
        <v>6062</v>
      </c>
      <c r="S789" t="s">
        <v>6111</v>
      </c>
    </row>
    <row r="790" spans="1:19" x14ac:dyDescent="0.2">
      <c r="A790" t="s">
        <v>6112</v>
      </c>
      <c r="B790" t="s">
        <v>26</v>
      </c>
      <c r="C790" t="s">
        <v>6113</v>
      </c>
      <c r="D790" t="s">
        <v>26</v>
      </c>
      <c r="E790" t="s">
        <v>26</v>
      </c>
      <c r="F790" t="s">
        <v>26</v>
      </c>
      <c r="G790" t="s">
        <v>6114</v>
      </c>
      <c r="H790" t="s">
        <v>26</v>
      </c>
      <c r="I790" t="s">
        <v>26</v>
      </c>
      <c r="J790" t="s">
        <v>26</v>
      </c>
      <c r="K790" t="s">
        <v>6115</v>
      </c>
      <c r="L790" t="s">
        <v>6112</v>
      </c>
      <c r="M790" t="s">
        <v>6116</v>
      </c>
      <c r="N790" t="s">
        <v>26</v>
      </c>
      <c r="O790" t="s">
        <v>26</v>
      </c>
      <c r="P790" t="s">
        <v>26</v>
      </c>
      <c r="Q790" t="s">
        <v>26</v>
      </c>
      <c r="R790" t="s">
        <v>2756</v>
      </c>
      <c r="S790" t="s">
        <v>6117</v>
      </c>
    </row>
    <row r="791" spans="1:19" x14ac:dyDescent="0.2">
      <c r="A791" t="s">
        <v>6118</v>
      </c>
      <c r="B791" t="s">
        <v>26</v>
      </c>
      <c r="C791" t="s">
        <v>6119</v>
      </c>
      <c r="D791" t="s">
        <v>26</v>
      </c>
      <c r="E791" t="s">
        <v>26</v>
      </c>
      <c r="F791" t="s">
        <v>26</v>
      </c>
      <c r="G791" t="s">
        <v>6120</v>
      </c>
      <c r="H791" t="s">
        <v>26</v>
      </c>
      <c r="I791" t="s">
        <v>26</v>
      </c>
      <c r="J791" t="s">
        <v>26</v>
      </c>
      <c r="K791" t="s">
        <v>26</v>
      </c>
      <c r="L791" t="s">
        <v>26</v>
      </c>
      <c r="M791" t="s">
        <v>26</v>
      </c>
      <c r="N791" t="s">
        <v>26</v>
      </c>
      <c r="O791" t="s">
        <v>26</v>
      </c>
      <c r="P791" t="s">
        <v>26</v>
      </c>
      <c r="Q791" t="s">
        <v>26</v>
      </c>
      <c r="R791" t="s">
        <v>2756</v>
      </c>
      <c r="S791" t="s">
        <v>6121</v>
      </c>
    </row>
    <row r="792" spans="1:19" x14ac:dyDescent="0.2">
      <c r="A792" t="s">
        <v>6122</v>
      </c>
      <c r="B792" t="s">
        <v>6122</v>
      </c>
      <c r="C792" t="s">
        <v>6123</v>
      </c>
      <c r="D792" t="s">
        <v>22</v>
      </c>
      <c r="E792" t="b">
        <v>0</v>
      </c>
      <c r="F792" t="s">
        <v>23</v>
      </c>
      <c r="G792" t="s">
        <v>6124</v>
      </c>
      <c r="H792" t="s">
        <v>6125</v>
      </c>
      <c r="I792" t="s">
        <v>26</v>
      </c>
      <c r="J792" t="s">
        <v>27</v>
      </c>
      <c r="K792" t="s">
        <v>6126</v>
      </c>
      <c r="L792" t="s">
        <v>6122</v>
      </c>
      <c r="M792" t="s">
        <v>6127</v>
      </c>
      <c r="N792" t="s">
        <v>26</v>
      </c>
      <c r="O792" t="s">
        <v>6128</v>
      </c>
      <c r="P792" t="s">
        <v>6129</v>
      </c>
      <c r="Q792" s="1" t="d">
        <v>1950-11-01</v>
      </c>
      <c r="R792" t="s">
        <v>2756</v>
      </c>
      <c r="S792" t="s">
        <v>6130</v>
      </c>
    </row>
    <row r="793" spans="1:19" x14ac:dyDescent="0.2">
      <c r="A793" t="s">
        <v>6131</v>
      </c>
      <c r="B793" t="s">
        <v>26</v>
      </c>
      <c r="C793" t="s">
        <v>6132</v>
      </c>
      <c r="D793" t="s">
        <v>26</v>
      </c>
      <c r="E793" t="s">
        <v>26</v>
      </c>
      <c r="F793" t="s">
        <v>26</v>
      </c>
      <c r="G793" t="s">
        <v>6133</v>
      </c>
      <c r="H793" t="s">
        <v>26</v>
      </c>
      <c r="I793" t="s">
        <v>26</v>
      </c>
      <c r="J793" t="s">
        <v>26</v>
      </c>
      <c r="K793" t="s">
        <v>6134</v>
      </c>
      <c r="L793" t="s">
        <v>6131</v>
      </c>
      <c r="M793" t="s">
        <v>26</v>
      </c>
      <c r="N793" t="s">
        <v>26</v>
      </c>
      <c r="O793" t="s">
        <v>26</v>
      </c>
      <c r="P793" t="s">
        <v>26</v>
      </c>
      <c r="Q793" t="s">
        <v>26</v>
      </c>
      <c r="R793" t="s">
        <v>2756</v>
      </c>
      <c r="S793" t="s">
        <v>6135</v>
      </c>
    </row>
    <row r="794" spans="1:19" x14ac:dyDescent="0.2">
      <c r="A794" t="s">
        <v>6136</v>
      </c>
      <c r="B794" t="s">
        <v>26</v>
      </c>
      <c r="C794" t="s">
        <v>6137</v>
      </c>
      <c r="D794" t="s">
        <v>26</v>
      </c>
      <c r="E794" t="s">
        <v>26</v>
      </c>
      <c r="F794" t="s">
        <v>26</v>
      </c>
      <c r="G794" t="s">
        <v>6138</v>
      </c>
      <c r="H794" t="s">
        <v>26</v>
      </c>
      <c r="I794" t="s">
        <v>26</v>
      </c>
      <c r="J794" t="s">
        <v>26</v>
      </c>
      <c r="K794" t="s">
        <v>6139</v>
      </c>
      <c r="L794" t="s">
        <v>6136</v>
      </c>
      <c r="M794" t="s">
        <v>26</v>
      </c>
      <c r="N794" t="s">
        <v>26</v>
      </c>
      <c r="O794" t="s">
        <v>26</v>
      </c>
      <c r="P794" t="s">
        <v>26</v>
      </c>
      <c r="Q794" t="s">
        <v>26</v>
      </c>
      <c r="R794" t="s">
        <v>2756</v>
      </c>
      <c r="S794" t="s">
        <v>6140</v>
      </c>
    </row>
    <row r="795" spans="1:19" x14ac:dyDescent="0.2">
      <c r="A795" t="s">
        <v>6141</v>
      </c>
      <c r="B795" t="s">
        <v>26</v>
      </c>
      <c r="C795" t="s">
        <v>6142</v>
      </c>
      <c r="D795" t="s">
        <v>26</v>
      </c>
      <c r="E795" t="s">
        <v>26</v>
      </c>
      <c r="F795" t="s">
        <v>26</v>
      </c>
      <c r="G795" t="s">
        <v>6143</v>
      </c>
      <c r="H795" t="s">
        <v>26</v>
      </c>
      <c r="I795" t="s">
        <v>26</v>
      </c>
      <c r="J795" t="s">
        <v>26</v>
      </c>
      <c r="K795" t="s">
        <v>26</v>
      </c>
      <c r="L795" t="s">
        <v>26</v>
      </c>
      <c r="M795" t="s">
        <v>26</v>
      </c>
      <c r="N795" t="s">
        <v>26</v>
      </c>
      <c r="O795" t="s">
        <v>26</v>
      </c>
      <c r="P795" t="s">
        <v>26</v>
      </c>
      <c r="Q795" t="s">
        <v>26</v>
      </c>
      <c r="R795" t="s">
        <v>6062</v>
      </c>
      <c r="S795" t="s">
        <v>6144</v>
      </c>
    </row>
    <row r="796" spans="1:19" x14ac:dyDescent="0.2">
      <c r="A796" t="s">
        <v>6145</v>
      </c>
      <c r="B796" t="s">
        <v>26</v>
      </c>
      <c r="C796" t="s">
        <v>6146</v>
      </c>
      <c r="D796" t="s">
        <v>26</v>
      </c>
      <c r="E796" t="s">
        <v>26</v>
      </c>
      <c r="F796" t="s">
        <v>26</v>
      </c>
      <c r="G796" t="s">
        <v>6147</v>
      </c>
      <c r="H796" t="s">
        <v>26</v>
      </c>
      <c r="I796" t="s">
        <v>26</v>
      </c>
      <c r="J796" t="s">
        <v>26</v>
      </c>
      <c r="K796" t="s">
        <v>6148</v>
      </c>
      <c r="L796" t="s">
        <v>6149</v>
      </c>
      <c r="M796" t="s">
        <v>26</v>
      </c>
      <c r="N796" t="s">
        <v>26</v>
      </c>
      <c r="O796" t="s">
        <v>26</v>
      </c>
      <c r="P796" t="s">
        <v>26</v>
      </c>
      <c r="Q796" t="s">
        <v>26</v>
      </c>
      <c r="R796" t="s">
        <v>6062</v>
      </c>
      <c r="S796" t="s">
        <v>6150</v>
      </c>
    </row>
    <row r="797" spans="1:19" x14ac:dyDescent="0.2">
      <c r="A797" t="s">
        <v>6151</v>
      </c>
      <c r="B797" t="s">
        <v>6152</v>
      </c>
      <c r="C797" t="s">
        <v>6153</v>
      </c>
      <c r="D797" t="s">
        <v>22</v>
      </c>
      <c r="E797" t="b">
        <v>0</v>
      </c>
      <c r="F797" t="s">
        <v>23</v>
      </c>
      <c r="G797" t="s">
        <v>6154</v>
      </c>
      <c r="H797" t="s">
        <v>339</v>
      </c>
      <c r="I797" t="s">
        <v>26</v>
      </c>
      <c r="J797" t="s">
        <v>27</v>
      </c>
      <c r="K797" t="s">
        <v>6155</v>
      </c>
      <c r="L797" t="s">
        <v>6156</v>
      </c>
      <c r="M797" t="s">
        <v>6157</v>
      </c>
      <c r="N797" t="s">
        <v>26</v>
      </c>
      <c r="O797" t="s">
        <v>26</v>
      </c>
      <c r="P797" t="s">
        <v>26</v>
      </c>
      <c r="Q797" s="3" t="d">
        <v>2026-01-10</v>
      </c>
      <c r="R797" t="s">
        <v>6062</v>
      </c>
      <c r="S797" t="s">
        <v>6158</v>
      </c>
    </row>
    <row r="798" spans="1:19" x14ac:dyDescent="0.2">
      <c r="A798" t="s">
        <v>6159</v>
      </c>
      <c r="B798" t="s">
        <v>26</v>
      </c>
      <c r="C798" t="s">
        <v>6160</v>
      </c>
      <c r="D798" t="s">
        <v>26</v>
      </c>
      <c r="E798" t="s">
        <v>26</v>
      </c>
      <c r="F798" t="s">
        <v>26</v>
      </c>
      <c r="G798" t="s">
        <v>6161</v>
      </c>
      <c r="H798" t="s">
        <v>26</v>
      </c>
      <c r="I798" t="s">
        <v>26</v>
      </c>
      <c r="J798" t="s">
        <v>26</v>
      </c>
      <c r="K798" t="s">
        <v>26</v>
      </c>
      <c r="L798" t="s">
        <v>26</v>
      </c>
      <c r="M798" t="s">
        <v>26</v>
      </c>
      <c r="N798" t="s">
        <v>26</v>
      </c>
      <c r="O798" t="s">
        <v>26</v>
      </c>
      <c r="P798" t="s">
        <v>26</v>
      </c>
      <c r="Q798" t="s">
        <v>26</v>
      </c>
      <c r="R798" t="s">
        <v>6062</v>
      </c>
      <c r="S798" t="s">
        <v>6162</v>
      </c>
    </row>
    <row r="799" spans="1:19" x14ac:dyDescent="0.2">
      <c r="A799" t="s">
        <v>6163</v>
      </c>
      <c r="B799" t="s">
        <v>26</v>
      </c>
      <c r="C799" t="s">
        <v>6164</v>
      </c>
      <c r="D799" t="s">
        <v>26</v>
      </c>
      <c r="E799" t="s">
        <v>26</v>
      </c>
      <c r="F799" t="s">
        <v>26</v>
      </c>
      <c r="G799" t="s">
        <v>6165</v>
      </c>
      <c r="H799" t="s">
        <v>26</v>
      </c>
      <c r="I799" t="s">
        <v>26</v>
      </c>
      <c r="J799" t="s">
        <v>26</v>
      </c>
      <c r="K799" t="s">
        <v>26</v>
      </c>
      <c r="L799" t="s">
        <v>6163</v>
      </c>
      <c r="M799" t="s">
        <v>26</v>
      </c>
      <c r="N799" t="s">
        <v>26</v>
      </c>
      <c r="O799" t="s">
        <v>26</v>
      </c>
      <c r="P799" t="s">
        <v>26</v>
      </c>
      <c r="Q799" t="s">
        <v>26</v>
      </c>
      <c r="R799" t="s">
        <v>1988</v>
      </c>
      <c r="S799" t="s">
        <v>6166</v>
      </c>
    </row>
    <row r="800" spans="1:19" x14ac:dyDescent="0.2">
      <c r="A800" t="s">
        <v>6167</v>
      </c>
      <c r="B800" t="s">
        <v>6168</v>
      </c>
      <c r="C800" t="s">
        <v>6169</v>
      </c>
      <c r="D800" t="s">
        <v>22</v>
      </c>
      <c r="E800" t="b">
        <v>0</v>
      </c>
      <c r="F800" t="s">
        <v>26</v>
      </c>
      <c r="G800" t="s">
        <v>6170</v>
      </c>
      <c r="H800" t="s">
        <v>6171</v>
      </c>
      <c r="I800" t="s">
        <v>26</v>
      </c>
      <c r="J800" t="s">
        <v>27</v>
      </c>
      <c r="K800" t="s">
        <v>6172</v>
      </c>
      <c r="L800" t="s">
        <v>6173</v>
      </c>
      <c r="M800" t="s">
        <v>26</v>
      </c>
      <c r="N800" t="s">
        <v>26</v>
      </c>
      <c r="O800" t="s">
        <v>26</v>
      </c>
      <c r="P800" t="s">
        <v>6174</v>
      </c>
      <c r="Q800" t="s">
        <v>26</v>
      </c>
      <c r="R800" t="s">
        <v>6062</v>
      </c>
      <c r="S800" t="s">
        <v>6175</v>
      </c>
    </row>
    <row r="801" spans="1:19" x14ac:dyDescent="0.2">
      <c r="A801" t="s">
        <v>6176</v>
      </c>
      <c r="B801" t="s">
        <v>26</v>
      </c>
      <c r="C801" t="s">
        <v>6177</v>
      </c>
      <c r="D801" t="s">
        <v>26</v>
      </c>
      <c r="E801" t="s">
        <v>26</v>
      </c>
      <c r="F801" t="s">
        <v>26</v>
      </c>
      <c r="G801" t="s">
        <v>6178</v>
      </c>
      <c r="H801" t="s">
        <v>26</v>
      </c>
      <c r="I801" t="s">
        <v>26</v>
      </c>
      <c r="J801" t="s">
        <v>26</v>
      </c>
      <c r="K801" t="s">
        <v>26</v>
      </c>
      <c r="L801" t="s">
        <v>26</v>
      </c>
      <c r="M801" t="s">
        <v>26</v>
      </c>
      <c r="N801" t="s">
        <v>26</v>
      </c>
      <c r="O801" t="s">
        <v>26</v>
      </c>
      <c r="P801" t="s">
        <v>26</v>
      </c>
      <c r="Q801" t="s">
        <v>26</v>
      </c>
      <c r="R801" t="s">
        <v>6062</v>
      </c>
      <c r="S801" t="s">
        <v>6179</v>
      </c>
    </row>
    <row r="802" spans="1:19" x14ac:dyDescent="0.2">
      <c r="A802" t="s">
        <v>6180</v>
      </c>
      <c r="B802" t="s">
        <v>26</v>
      </c>
      <c r="C802" t="s">
        <v>6181</v>
      </c>
      <c r="D802" t="s">
        <v>26</v>
      </c>
      <c r="E802" t="s">
        <v>26</v>
      </c>
      <c r="F802" t="s">
        <v>26</v>
      </c>
      <c r="G802" t="s">
        <v>6182</v>
      </c>
      <c r="H802" t="s">
        <v>26</v>
      </c>
      <c r="I802" t="s">
        <v>26</v>
      </c>
      <c r="J802" t="s">
        <v>26</v>
      </c>
      <c r="K802" t="s">
        <v>6183</v>
      </c>
      <c r="L802" t="s">
        <v>26</v>
      </c>
      <c r="M802" t="s">
        <v>26</v>
      </c>
      <c r="N802" t="s">
        <v>26</v>
      </c>
      <c r="O802" t="s">
        <v>26</v>
      </c>
      <c r="P802" t="s">
        <v>26</v>
      </c>
      <c r="Q802" t="s">
        <v>26</v>
      </c>
      <c r="R802" t="s">
        <v>6062</v>
      </c>
      <c r="S802" t="s">
        <v>6184</v>
      </c>
    </row>
    <row r="803" spans="1:19" x14ac:dyDescent="0.2">
      <c r="A803" t="s">
        <v>6185</v>
      </c>
      <c r="B803" t="s">
        <v>6186</v>
      </c>
      <c r="C803" t="s">
        <v>6187</v>
      </c>
      <c r="D803" t="s">
        <v>22</v>
      </c>
      <c r="E803" t="b">
        <v>0</v>
      </c>
      <c r="F803" t="s">
        <v>23</v>
      </c>
      <c r="G803" t="s">
        <v>6188</v>
      </c>
      <c r="H803" t="s">
        <v>1064</v>
      </c>
      <c r="I803" s="2" t="d">
        <v>2021-10-01</v>
      </c>
      <c r="J803" t="s">
        <v>27</v>
      </c>
      <c r="K803" t="s">
        <v>6189</v>
      </c>
      <c r="L803" t="s">
        <v>26</v>
      </c>
      <c r="M803" t="s">
        <v>6190</v>
      </c>
      <c r="N803" t="s">
        <v>26</v>
      </c>
      <c r="O803" t="s">
        <v>26</v>
      </c>
      <c r="P803" t="s">
        <v>26</v>
      </c>
      <c r="Q803" t="s">
        <v>26</v>
      </c>
      <c r="R803" t="s">
        <v>41</v>
      </c>
      <c r="S803" t="s">
        <v>6191</v>
      </c>
    </row>
    <row r="804" spans="1:19" x14ac:dyDescent="0.2">
      <c r="A804" t="s">
        <v>6192</v>
      </c>
      <c r="B804" t="s">
        <v>6193</v>
      </c>
      <c r="C804" t="s">
        <v>6194</v>
      </c>
      <c r="D804" t="s">
        <v>22</v>
      </c>
      <c r="E804" t="b">
        <v>0</v>
      </c>
      <c r="F804" t="s">
        <v>23</v>
      </c>
      <c r="G804" t="s">
        <v>6195</v>
      </c>
      <c r="H804" t="s">
        <v>6196</v>
      </c>
      <c r="I804" t="s">
        <v>26</v>
      </c>
      <c r="J804" t="s">
        <v>27</v>
      </c>
      <c r="K804" t="s">
        <v>6197</v>
      </c>
      <c r="L804" t="s">
        <v>6198</v>
      </c>
      <c r="M804" t="s">
        <v>6199</v>
      </c>
      <c r="N804" t="s">
        <v>26</v>
      </c>
      <c r="O804" t="s">
        <v>6200</v>
      </c>
      <c r="P804" t="s">
        <v>26</v>
      </c>
      <c r="Q804" s="1" t="d">
        <v>1950-11-01</v>
      </c>
      <c r="R804" t="s">
        <v>6201</v>
      </c>
      <c r="S804" t="s">
        <v>6202</v>
      </c>
    </row>
    <row r="805" spans="1:19" x14ac:dyDescent="0.2">
      <c r="A805" t="s">
        <v>6203</v>
      </c>
      <c r="B805" t="s">
        <v>6204</v>
      </c>
      <c r="C805" t="s">
        <v>6205</v>
      </c>
      <c r="D805" t="s">
        <v>22</v>
      </c>
      <c r="E805" t="b">
        <v>0</v>
      </c>
      <c r="F805" t="s">
        <v>26</v>
      </c>
      <c r="G805" t="s">
        <v>6206</v>
      </c>
      <c r="H805" t="s">
        <v>58</v>
      </c>
      <c r="I805" t="s">
        <v>26</v>
      </c>
      <c r="J805" t="s">
        <v>27</v>
      </c>
      <c r="K805" t="s">
        <v>6207</v>
      </c>
      <c r="L805" t="s">
        <v>6208</v>
      </c>
      <c r="M805" t="s">
        <v>26</v>
      </c>
      <c r="N805" t="s">
        <v>26</v>
      </c>
      <c r="O805" t="s">
        <v>26</v>
      </c>
      <c r="P805" t="s">
        <v>26</v>
      </c>
      <c r="Q805" s="3" t="d">
        <v>2026-01-10</v>
      </c>
      <c r="R805" t="s">
        <v>1988</v>
      </c>
      <c r="S805" t="s">
        <v>6209</v>
      </c>
    </row>
    <row r="806" spans="1:19" x14ac:dyDescent="0.2">
      <c r="A806" t="s">
        <v>6210</v>
      </c>
      <c r="B806" t="s">
        <v>26</v>
      </c>
      <c r="C806" t="s">
        <v>6211</v>
      </c>
      <c r="D806" t="s">
        <v>26</v>
      </c>
      <c r="E806" t="s">
        <v>26</v>
      </c>
      <c r="F806" t="s">
        <v>26</v>
      </c>
      <c r="G806" t="s">
        <v>6212</v>
      </c>
      <c r="H806" t="s">
        <v>26</v>
      </c>
      <c r="I806" t="s">
        <v>26</v>
      </c>
      <c r="J806" t="s">
        <v>26</v>
      </c>
      <c r="K806" t="s">
        <v>6213</v>
      </c>
      <c r="L806" t="s">
        <v>6214</v>
      </c>
      <c r="M806" t="s">
        <v>26</v>
      </c>
      <c r="N806" t="s">
        <v>26</v>
      </c>
      <c r="O806" t="s">
        <v>26</v>
      </c>
      <c r="P806" t="s">
        <v>26</v>
      </c>
      <c r="Q806" t="s">
        <v>26</v>
      </c>
      <c r="R806" t="s">
        <v>1988</v>
      </c>
      <c r="S806" t="s">
        <v>6215</v>
      </c>
    </row>
    <row r="807" spans="1:19" x14ac:dyDescent="0.2">
      <c r="A807" t="s">
        <v>6216</v>
      </c>
      <c r="B807" t="s">
        <v>26</v>
      </c>
      <c r="C807" t="s">
        <v>6217</v>
      </c>
      <c r="D807" t="s">
        <v>26</v>
      </c>
      <c r="E807" t="s">
        <v>26</v>
      </c>
      <c r="F807" t="s">
        <v>26</v>
      </c>
      <c r="G807" t="s">
        <v>6218</v>
      </c>
      <c r="H807" t="s">
        <v>26</v>
      </c>
      <c r="I807" t="s">
        <v>26</v>
      </c>
      <c r="J807" t="s">
        <v>26</v>
      </c>
      <c r="K807" t="s">
        <v>6219</v>
      </c>
      <c r="L807" t="s">
        <v>26</v>
      </c>
      <c r="M807" t="s">
        <v>26</v>
      </c>
      <c r="N807" t="s">
        <v>26</v>
      </c>
      <c r="O807" t="s">
        <v>26</v>
      </c>
      <c r="P807" t="s">
        <v>26</v>
      </c>
      <c r="Q807" t="s">
        <v>26</v>
      </c>
      <c r="R807" t="s">
        <v>2750</v>
      </c>
      <c r="S807" t="s">
        <v>6220</v>
      </c>
    </row>
    <row r="808" spans="1:19" x14ac:dyDescent="0.2">
      <c r="A808" t="s">
        <v>6221</v>
      </c>
      <c r="B808" t="s">
        <v>6222</v>
      </c>
      <c r="C808" t="s">
        <v>6223</v>
      </c>
      <c r="D808" t="s">
        <v>22</v>
      </c>
      <c r="E808" t="b">
        <v>0</v>
      </c>
      <c r="F808" t="s">
        <v>23</v>
      </c>
      <c r="G808" t="s">
        <v>6224</v>
      </c>
      <c r="H808" t="s">
        <v>339</v>
      </c>
      <c r="I808" t="s">
        <v>26</v>
      </c>
      <c r="J808" t="s">
        <v>27</v>
      </c>
      <c r="K808" t="s">
        <v>6225</v>
      </c>
      <c r="L808" t="s">
        <v>6226</v>
      </c>
      <c r="M808" t="s">
        <v>26</v>
      </c>
      <c r="N808" t="s">
        <v>26</v>
      </c>
      <c r="O808" t="s">
        <v>6227</v>
      </c>
      <c r="P808" t="s">
        <v>26</v>
      </c>
      <c r="Q808" s="1" t="d">
        <v>1950-11-01</v>
      </c>
      <c r="R808" t="s">
        <v>6228</v>
      </c>
      <c r="S808" t="s">
        <v>6229</v>
      </c>
    </row>
    <row r="809" spans="1:19" x14ac:dyDescent="0.2">
      <c r="A809" t="s">
        <v>6230</v>
      </c>
      <c r="B809" t="s">
        <v>6230</v>
      </c>
      <c r="C809" t="s">
        <v>6231</v>
      </c>
      <c r="D809" t="s">
        <v>22</v>
      </c>
      <c r="E809" t="b">
        <v>0</v>
      </c>
      <c r="F809" t="s">
        <v>26</v>
      </c>
      <c r="G809" t="s">
        <v>6232</v>
      </c>
      <c r="H809" t="s">
        <v>26</v>
      </c>
      <c r="I809" t="s">
        <v>26</v>
      </c>
      <c r="J809" t="s">
        <v>27</v>
      </c>
      <c r="K809" t="s">
        <v>6233</v>
      </c>
      <c r="L809" t="s">
        <v>6230</v>
      </c>
      <c r="M809" t="s">
        <v>26</v>
      </c>
      <c r="N809" t="s">
        <v>26</v>
      </c>
      <c r="O809" t="s">
        <v>26</v>
      </c>
      <c r="P809" t="s">
        <v>26</v>
      </c>
      <c r="Q809" t="s">
        <v>26</v>
      </c>
      <c r="R809" t="s">
        <v>6234</v>
      </c>
      <c r="S809" t="s">
        <v>6235</v>
      </c>
    </row>
    <row r="810" spans="1:19" x14ac:dyDescent="0.2">
      <c r="A810" t="s">
        <v>6236</v>
      </c>
      <c r="B810" t="s">
        <v>6236</v>
      </c>
      <c r="C810" t="s">
        <v>6237</v>
      </c>
      <c r="D810" t="s">
        <v>22</v>
      </c>
      <c r="E810" t="b">
        <v>0</v>
      </c>
      <c r="F810" t="s">
        <v>23</v>
      </c>
      <c r="G810" t="s">
        <v>6238</v>
      </c>
      <c r="H810" t="s">
        <v>6239</v>
      </c>
      <c r="I810" t="s">
        <v>26</v>
      </c>
      <c r="J810" t="s">
        <v>27</v>
      </c>
      <c r="K810" t="s">
        <v>6240</v>
      </c>
      <c r="L810" t="s">
        <v>6236</v>
      </c>
      <c r="M810" t="s">
        <v>26</v>
      </c>
      <c r="N810" t="s">
        <v>26</v>
      </c>
      <c r="O810" t="s">
        <v>26</v>
      </c>
      <c r="P810" t="s">
        <v>26</v>
      </c>
      <c r="Q810" s="3" t="d">
        <v>2026-01-10</v>
      </c>
      <c r="R810" t="s">
        <v>412</v>
      </c>
      <c r="S810" t="s">
        <v>6241</v>
      </c>
    </row>
    <row r="811" spans="1:19" x14ac:dyDescent="0.2">
      <c r="A811" t="s">
        <v>6242</v>
      </c>
      <c r="B811" t="s">
        <v>26</v>
      </c>
      <c r="C811" t="s">
        <v>6243</v>
      </c>
      <c r="D811" t="s">
        <v>26</v>
      </c>
      <c r="E811" t="s">
        <v>26</v>
      </c>
      <c r="F811" t="s">
        <v>26</v>
      </c>
      <c r="G811" t="s">
        <v>6244</v>
      </c>
      <c r="H811" t="s">
        <v>26</v>
      </c>
      <c r="I811" t="s">
        <v>26</v>
      </c>
      <c r="J811" t="s">
        <v>26</v>
      </c>
      <c r="K811" t="s">
        <v>26</v>
      </c>
      <c r="L811" t="s">
        <v>26</v>
      </c>
      <c r="M811" t="s">
        <v>6245</v>
      </c>
      <c r="N811" t="s">
        <v>26</v>
      </c>
      <c r="O811" t="s">
        <v>26</v>
      </c>
      <c r="P811" t="s">
        <v>26</v>
      </c>
      <c r="Q811" t="s">
        <v>26</v>
      </c>
      <c r="R811" t="s">
        <v>5658</v>
      </c>
      <c r="S811" t="s">
        <v>6246</v>
      </c>
    </row>
    <row r="812" spans="1:19" x14ac:dyDescent="0.2">
      <c r="A812" t="s">
        <v>6247</v>
      </c>
      <c r="B812" t="s">
        <v>26</v>
      </c>
      <c r="C812" t="s">
        <v>6248</v>
      </c>
      <c r="D812" t="s">
        <v>26</v>
      </c>
      <c r="E812" t="s">
        <v>26</v>
      </c>
      <c r="F812" t="s">
        <v>26</v>
      </c>
      <c r="G812" t="s">
        <v>6249</v>
      </c>
      <c r="H812" t="s">
        <v>26</v>
      </c>
      <c r="I812" t="s">
        <v>26</v>
      </c>
      <c r="J812" t="s">
        <v>26</v>
      </c>
      <c r="K812" t="s">
        <v>6250</v>
      </c>
      <c r="L812" t="s">
        <v>6247</v>
      </c>
      <c r="M812" t="s">
        <v>6251</v>
      </c>
      <c r="N812" t="s">
        <v>26</v>
      </c>
      <c r="O812" t="s">
        <v>26</v>
      </c>
      <c r="P812" t="s">
        <v>26</v>
      </c>
      <c r="Q812" t="s">
        <v>26</v>
      </c>
      <c r="R812" t="s">
        <v>5658</v>
      </c>
      <c r="S812" t="s">
        <v>6252</v>
      </c>
    </row>
    <row r="813" spans="1:19" x14ac:dyDescent="0.2">
      <c r="A813" t="s">
        <v>6253</v>
      </c>
      <c r="B813" t="s">
        <v>26</v>
      </c>
      <c r="C813" t="s">
        <v>6254</v>
      </c>
      <c r="D813" t="s">
        <v>26</v>
      </c>
      <c r="E813" t="s">
        <v>26</v>
      </c>
      <c r="F813" t="s">
        <v>26</v>
      </c>
      <c r="G813" t="s">
        <v>6255</v>
      </c>
      <c r="H813" t="s">
        <v>26</v>
      </c>
      <c r="I813" t="s">
        <v>26</v>
      </c>
      <c r="J813" t="s">
        <v>26</v>
      </c>
      <c r="K813" t="s">
        <v>6256</v>
      </c>
      <c r="L813" t="s">
        <v>6253</v>
      </c>
      <c r="M813" t="s">
        <v>26</v>
      </c>
      <c r="N813" t="s">
        <v>26</v>
      </c>
      <c r="O813" t="s">
        <v>26</v>
      </c>
      <c r="P813" t="s">
        <v>26</v>
      </c>
      <c r="Q813" t="s">
        <v>26</v>
      </c>
      <c r="R813" t="s">
        <v>5658</v>
      </c>
      <c r="S813" t="s">
        <v>6257</v>
      </c>
    </row>
    <row r="814" spans="1:19" x14ac:dyDescent="0.2">
      <c r="A814" t="s">
        <v>6258</v>
      </c>
      <c r="B814" t="s">
        <v>6258</v>
      </c>
      <c r="C814" t="s">
        <v>6259</v>
      </c>
      <c r="D814" t="s">
        <v>22</v>
      </c>
      <c r="E814" t="b">
        <v>0</v>
      </c>
      <c r="F814" t="s">
        <v>23</v>
      </c>
      <c r="G814" t="s">
        <v>6260</v>
      </c>
      <c r="H814" t="s">
        <v>26</v>
      </c>
      <c r="I814" t="s">
        <v>26</v>
      </c>
      <c r="J814" t="s">
        <v>27</v>
      </c>
      <c r="K814" t="s">
        <v>6261</v>
      </c>
      <c r="L814" t="s">
        <v>6258</v>
      </c>
      <c r="M814" t="s">
        <v>6262</v>
      </c>
      <c r="N814" t="s">
        <v>26</v>
      </c>
      <c r="O814" t="s">
        <v>26</v>
      </c>
      <c r="P814" t="s">
        <v>26</v>
      </c>
      <c r="Q814" s="3" t="d">
        <v>2026-01-10</v>
      </c>
      <c r="R814" t="s">
        <v>5658</v>
      </c>
      <c r="S814" t="s">
        <v>6263</v>
      </c>
    </row>
    <row r="815" spans="1:19" x14ac:dyDescent="0.2">
      <c r="A815" t="s">
        <v>6264</v>
      </c>
      <c r="B815" t="s">
        <v>26</v>
      </c>
      <c r="C815" t="s">
        <v>6265</v>
      </c>
      <c r="D815" t="s">
        <v>26</v>
      </c>
      <c r="E815" t="s">
        <v>26</v>
      </c>
      <c r="F815" t="s">
        <v>26</v>
      </c>
      <c r="G815" t="s">
        <v>6266</v>
      </c>
      <c r="H815" t="s">
        <v>26</v>
      </c>
      <c r="I815" t="s">
        <v>26</v>
      </c>
      <c r="J815" t="s">
        <v>26</v>
      </c>
      <c r="K815" t="s">
        <v>6267</v>
      </c>
      <c r="L815" t="s">
        <v>6264</v>
      </c>
      <c r="M815" t="s">
        <v>6268</v>
      </c>
      <c r="N815" t="s">
        <v>26</v>
      </c>
      <c r="O815" t="s">
        <v>26</v>
      </c>
      <c r="P815" t="s">
        <v>26</v>
      </c>
      <c r="Q815" t="s">
        <v>26</v>
      </c>
      <c r="R815" t="s">
        <v>5658</v>
      </c>
      <c r="S815" t="s">
        <v>6269</v>
      </c>
    </row>
    <row r="816" spans="1:19" x14ac:dyDescent="0.2">
      <c r="A816" t="s">
        <v>6270</v>
      </c>
      <c r="B816" t="s">
        <v>6270</v>
      </c>
      <c r="C816" t="s">
        <v>6271</v>
      </c>
      <c r="D816" t="s">
        <v>22</v>
      </c>
      <c r="E816" t="b">
        <v>0</v>
      </c>
      <c r="F816" t="s">
        <v>23</v>
      </c>
      <c r="G816" t="s">
        <v>6272</v>
      </c>
      <c r="H816" t="s">
        <v>6273</v>
      </c>
      <c r="I816" s="2" t="d">
        <v>2019-01-01</v>
      </c>
      <c r="J816" t="s">
        <v>27</v>
      </c>
      <c r="K816" t="s">
        <v>6274</v>
      </c>
      <c r="L816" t="s">
        <v>6275</v>
      </c>
      <c r="M816" t="s">
        <v>6276</v>
      </c>
      <c r="N816" t="s">
        <v>6277</v>
      </c>
      <c r="O816" t="s">
        <v>6278</v>
      </c>
      <c r="P816" t="s">
        <v>26</v>
      </c>
      <c r="Q816" t="s">
        <v>40</v>
      </c>
      <c r="R816" t="s">
        <v>41</v>
      </c>
      <c r="S816" t="s">
        <v>6279</v>
      </c>
    </row>
    <row r="817" spans="1:19" x14ac:dyDescent="0.2">
      <c r="A817" t="s">
        <v>6280</v>
      </c>
      <c r="B817" t="s">
        <v>26</v>
      </c>
      <c r="C817" t="s">
        <v>6281</v>
      </c>
      <c r="D817" t="s">
        <v>26</v>
      </c>
      <c r="E817" t="s">
        <v>26</v>
      </c>
      <c r="F817" t="s">
        <v>26</v>
      </c>
      <c r="G817" t="s">
        <v>6282</v>
      </c>
      <c r="H817" t="s">
        <v>26</v>
      </c>
      <c r="I817" t="s">
        <v>26</v>
      </c>
      <c r="J817" t="s">
        <v>26</v>
      </c>
      <c r="K817" t="s">
        <v>6283</v>
      </c>
      <c r="L817" t="s">
        <v>26</v>
      </c>
      <c r="M817" t="s">
        <v>26</v>
      </c>
      <c r="N817" t="s">
        <v>26</v>
      </c>
      <c r="O817" t="s">
        <v>26</v>
      </c>
      <c r="P817" t="s">
        <v>26</v>
      </c>
      <c r="Q817" t="s">
        <v>26</v>
      </c>
      <c r="R817" t="s">
        <v>5658</v>
      </c>
      <c r="S817" t="s">
        <v>6284</v>
      </c>
    </row>
    <row r="818" spans="1:19" x14ac:dyDescent="0.2">
      <c r="A818" t="s">
        <v>6285</v>
      </c>
      <c r="B818" t="s">
        <v>26</v>
      </c>
      <c r="C818" t="s">
        <v>6286</v>
      </c>
      <c r="D818" t="s">
        <v>26</v>
      </c>
      <c r="E818" t="s">
        <v>26</v>
      </c>
      <c r="F818" t="s">
        <v>26</v>
      </c>
      <c r="G818" t="s">
        <v>6287</v>
      </c>
      <c r="H818" t="s">
        <v>26</v>
      </c>
      <c r="I818" t="s">
        <v>26</v>
      </c>
      <c r="J818" t="s">
        <v>26</v>
      </c>
      <c r="K818" t="s">
        <v>6288</v>
      </c>
      <c r="L818" t="s">
        <v>6285</v>
      </c>
      <c r="M818" t="s">
        <v>26</v>
      </c>
      <c r="N818" t="s">
        <v>26</v>
      </c>
      <c r="O818" t="s">
        <v>26</v>
      </c>
      <c r="P818" t="s">
        <v>26</v>
      </c>
      <c r="Q818" t="s">
        <v>26</v>
      </c>
      <c r="R818" t="s">
        <v>5658</v>
      </c>
      <c r="S818" t="s">
        <v>6289</v>
      </c>
    </row>
    <row r="819" spans="1:19" x14ac:dyDescent="0.2">
      <c r="A819" t="s">
        <v>6290</v>
      </c>
      <c r="B819" t="s">
        <v>26</v>
      </c>
      <c r="C819" t="s">
        <v>6291</v>
      </c>
      <c r="D819" t="s">
        <v>26</v>
      </c>
      <c r="E819" t="s">
        <v>26</v>
      </c>
      <c r="F819" t="s">
        <v>26</v>
      </c>
      <c r="G819" t="s">
        <v>6292</v>
      </c>
      <c r="H819" t="s">
        <v>26</v>
      </c>
      <c r="I819" t="s">
        <v>26</v>
      </c>
      <c r="J819" t="s">
        <v>26</v>
      </c>
      <c r="K819" t="s">
        <v>6293</v>
      </c>
      <c r="L819" t="s">
        <v>26</v>
      </c>
      <c r="M819" t="s">
        <v>26</v>
      </c>
      <c r="N819" t="s">
        <v>26</v>
      </c>
      <c r="O819" t="s">
        <v>26</v>
      </c>
      <c r="P819" t="s">
        <v>26</v>
      </c>
      <c r="Q819" t="s">
        <v>26</v>
      </c>
      <c r="R819" t="s">
        <v>5658</v>
      </c>
      <c r="S819" t="s">
        <v>6294</v>
      </c>
    </row>
    <row r="820" spans="1:19" x14ac:dyDescent="0.2">
      <c r="A820" t="s">
        <v>6295</v>
      </c>
      <c r="B820" t="s">
        <v>26</v>
      </c>
      <c r="C820" t="s">
        <v>6296</v>
      </c>
      <c r="D820" t="s">
        <v>26</v>
      </c>
      <c r="E820" t="s">
        <v>26</v>
      </c>
      <c r="F820" t="s">
        <v>26</v>
      </c>
      <c r="G820" t="s">
        <v>6297</v>
      </c>
      <c r="H820" t="s">
        <v>26</v>
      </c>
      <c r="I820" t="s">
        <v>26</v>
      </c>
      <c r="J820" t="s">
        <v>26</v>
      </c>
      <c r="K820" t="s">
        <v>6298</v>
      </c>
      <c r="L820" t="s">
        <v>6295</v>
      </c>
      <c r="M820" t="s">
        <v>6299</v>
      </c>
      <c r="N820" t="s">
        <v>26</v>
      </c>
      <c r="O820" t="s">
        <v>26</v>
      </c>
      <c r="P820" t="s">
        <v>26</v>
      </c>
      <c r="Q820" t="s">
        <v>26</v>
      </c>
      <c r="R820" t="s">
        <v>5658</v>
      </c>
      <c r="S820" t="s">
        <v>6300</v>
      </c>
    </row>
    <row r="821" spans="1:19" x14ac:dyDescent="0.2">
      <c r="A821" t="s">
        <v>6301</v>
      </c>
      <c r="B821" t="s">
        <v>26</v>
      </c>
      <c r="C821" t="s">
        <v>6302</v>
      </c>
      <c r="D821" t="s">
        <v>26</v>
      </c>
      <c r="E821" t="s">
        <v>26</v>
      </c>
      <c r="F821" t="s">
        <v>26</v>
      </c>
      <c r="G821" t="s">
        <v>6303</v>
      </c>
      <c r="H821" t="s">
        <v>26</v>
      </c>
      <c r="I821" t="s">
        <v>26</v>
      </c>
      <c r="J821" t="s">
        <v>26</v>
      </c>
      <c r="K821" t="s">
        <v>6304</v>
      </c>
      <c r="L821" t="s">
        <v>6301</v>
      </c>
      <c r="M821" t="s">
        <v>6305</v>
      </c>
      <c r="N821" t="s">
        <v>26</v>
      </c>
      <c r="O821" t="s">
        <v>26</v>
      </c>
      <c r="P821" t="s">
        <v>26</v>
      </c>
      <c r="Q821" t="s">
        <v>26</v>
      </c>
      <c r="R821" t="s">
        <v>5658</v>
      </c>
      <c r="S821" t="s">
        <v>6306</v>
      </c>
    </row>
    <row r="822" spans="1:19" x14ac:dyDescent="0.2">
      <c r="A822" t="s">
        <v>6307</v>
      </c>
      <c r="B822" t="s">
        <v>26</v>
      </c>
      <c r="C822" t="s">
        <v>6308</v>
      </c>
      <c r="D822" t="s">
        <v>26</v>
      </c>
      <c r="E822" t="s">
        <v>26</v>
      </c>
      <c r="F822" t="s">
        <v>26</v>
      </c>
      <c r="G822" t="s">
        <v>6309</v>
      </c>
      <c r="H822" t="s">
        <v>26</v>
      </c>
      <c r="I822" t="s">
        <v>26</v>
      </c>
      <c r="J822" t="s">
        <v>26</v>
      </c>
      <c r="K822" t="s">
        <v>6310</v>
      </c>
      <c r="L822" t="s">
        <v>26</v>
      </c>
      <c r="M822" t="s">
        <v>26</v>
      </c>
      <c r="N822" t="s">
        <v>26</v>
      </c>
      <c r="O822" t="s">
        <v>26</v>
      </c>
      <c r="P822" t="s">
        <v>26</v>
      </c>
      <c r="Q822" t="s">
        <v>26</v>
      </c>
      <c r="R822" t="s">
        <v>5658</v>
      </c>
      <c r="S822" t="s">
        <v>6311</v>
      </c>
    </row>
    <row r="823" spans="1:19" x14ac:dyDescent="0.2">
      <c r="A823" t="s">
        <v>6312</v>
      </c>
      <c r="B823" t="s">
        <v>26</v>
      </c>
      <c r="C823" t="s">
        <v>6313</v>
      </c>
      <c r="D823" t="s">
        <v>26</v>
      </c>
      <c r="E823" t="s">
        <v>26</v>
      </c>
      <c r="F823" t="s">
        <v>26</v>
      </c>
      <c r="G823" t="s">
        <v>6314</v>
      </c>
      <c r="H823" t="s">
        <v>26</v>
      </c>
      <c r="I823" t="s">
        <v>26</v>
      </c>
      <c r="J823" t="s">
        <v>26</v>
      </c>
      <c r="K823" t="s">
        <v>6315</v>
      </c>
      <c r="L823" t="s">
        <v>6312</v>
      </c>
      <c r="M823" t="s">
        <v>26</v>
      </c>
      <c r="N823" t="s">
        <v>26</v>
      </c>
      <c r="O823" t="s">
        <v>26</v>
      </c>
      <c r="P823" t="s">
        <v>26</v>
      </c>
      <c r="Q823" t="s">
        <v>26</v>
      </c>
      <c r="R823" t="s">
        <v>5658</v>
      </c>
      <c r="S823" t="s">
        <v>6316</v>
      </c>
    </row>
    <row r="824" spans="1:19" x14ac:dyDescent="0.2">
      <c r="A824" t="s">
        <v>6317</v>
      </c>
      <c r="B824" t="s">
        <v>6317</v>
      </c>
      <c r="C824" t="s">
        <v>6318</v>
      </c>
      <c r="D824" t="s">
        <v>22</v>
      </c>
      <c r="E824" t="b">
        <v>0</v>
      </c>
      <c r="F824" t="s">
        <v>23</v>
      </c>
      <c r="G824" t="s">
        <v>6319</v>
      </c>
      <c r="H824" t="s">
        <v>6320</v>
      </c>
      <c r="I824" t="s">
        <v>26</v>
      </c>
      <c r="J824" t="s">
        <v>27</v>
      </c>
      <c r="K824" t="s">
        <v>6321</v>
      </c>
      <c r="L824" t="s">
        <v>6317</v>
      </c>
      <c r="M824" t="s">
        <v>6322</v>
      </c>
      <c r="N824" t="s">
        <v>26</v>
      </c>
      <c r="O824" t="s">
        <v>6323</v>
      </c>
      <c r="P824" t="s">
        <v>26</v>
      </c>
      <c r="Q824" s="1" t="d">
        <v>1950-11-01</v>
      </c>
      <c r="R824" t="s">
        <v>2393</v>
      </c>
      <c r="S824" t="s">
        <v>6324</v>
      </c>
    </row>
    <row r="825" spans="1:19" x14ac:dyDescent="0.2">
      <c r="A825" t="s">
        <v>6325</v>
      </c>
      <c r="B825" t="s">
        <v>6325</v>
      </c>
      <c r="C825" t="s">
        <v>6326</v>
      </c>
      <c r="D825" t="s">
        <v>22</v>
      </c>
      <c r="E825" t="b">
        <v>0</v>
      </c>
      <c r="F825" t="s">
        <v>26</v>
      </c>
      <c r="G825" t="s">
        <v>6327</v>
      </c>
      <c r="H825" t="s">
        <v>506</v>
      </c>
      <c r="I825" t="s">
        <v>26</v>
      </c>
      <c r="J825" t="s">
        <v>27</v>
      </c>
      <c r="K825" t="s">
        <v>6328</v>
      </c>
      <c r="L825" t="s">
        <v>6325</v>
      </c>
      <c r="M825" t="s">
        <v>6329</v>
      </c>
      <c r="N825" t="s">
        <v>26</v>
      </c>
      <c r="O825" t="s">
        <v>6330</v>
      </c>
      <c r="P825" t="s">
        <v>26</v>
      </c>
      <c r="Q825" s="3" t="d">
        <v>2026-01-10</v>
      </c>
      <c r="R825" t="s">
        <v>1484</v>
      </c>
      <c r="S825" t="s">
        <v>6331</v>
      </c>
    </row>
    <row r="826" spans="1:19" x14ac:dyDescent="0.2">
      <c r="A826" t="s">
        <v>6332</v>
      </c>
      <c r="B826" t="s">
        <v>26</v>
      </c>
      <c r="C826" t="s">
        <v>6333</v>
      </c>
      <c r="D826" t="s">
        <v>26</v>
      </c>
      <c r="E826" t="s">
        <v>26</v>
      </c>
      <c r="F826" t="s">
        <v>26</v>
      </c>
      <c r="G826" t="s">
        <v>6334</v>
      </c>
      <c r="H826" t="s">
        <v>26</v>
      </c>
      <c r="I826" t="s">
        <v>26</v>
      </c>
      <c r="J826" t="s">
        <v>26</v>
      </c>
      <c r="K826" t="s">
        <v>6335</v>
      </c>
      <c r="L826" t="s">
        <v>6332</v>
      </c>
      <c r="M826" t="s">
        <v>6336</v>
      </c>
      <c r="N826" t="s">
        <v>26</v>
      </c>
      <c r="O826" t="s">
        <v>26</v>
      </c>
      <c r="P826" t="s">
        <v>26</v>
      </c>
      <c r="Q826" t="s">
        <v>26</v>
      </c>
      <c r="R826" t="s">
        <v>1263</v>
      </c>
      <c r="S826" t="s">
        <v>6337</v>
      </c>
    </row>
    <row r="827" spans="1:19" x14ac:dyDescent="0.2">
      <c r="A827" t="s">
        <v>6338</v>
      </c>
      <c r="B827" t="s">
        <v>26</v>
      </c>
      <c r="C827" t="s">
        <v>6339</v>
      </c>
      <c r="D827" t="s">
        <v>26</v>
      </c>
      <c r="E827" t="s">
        <v>26</v>
      </c>
      <c r="F827" t="s">
        <v>26</v>
      </c>
      <c r="G827" t="s">
        <v>6340</v>
      </c>
      <c r="H827" t="s">
        <v>26</v>
      </c>
      <c r="I827" t="s">
        <v>26</v>
      </c>
      <c r="J827" t="s">
        <v>26</v>
      </c>
      <c r="K827" t="s">
        <v>6341</v>
      </c>
      <c r="L827" t="s">
        <v>26</v>
      </c>
      <c r="M827" t="s">
        <v>6342</v>
      </c>
      <c r="N827" t="s">
        <v>26</v>
      </c>
      <c r="O827" t="s">
        <v>26</v>
      </c>
      <c r="P827" t="s">
        <v>26</v>
      </c>
      <c r="Q827" t="s">
        <v>26</v>
      </c>
      <c r="R827" t="s">
        <v>1263</v>
      </c>
      <c r="S827" t="s">
        <v>6343</v>
      </c>
    </row>
    <row r="828" spans="1:19" x14ac:dyDescent="0.2">
      <c r="A828" t="s">
        <v>6344</v>
      </c>
      <c r="B828" t="s">
        <v>6345</v>
      </c>
      <c r="C828" t="s">
        <v>6346</v>
      </c>
      <c r="D828" t="s">
        <v>22</v>
      </c>
      <c r="E828" t="b">
        <v>0</v>
      </c>
      <c r="F828" t="s">
        <v>23</v>
      </c>
      <c r="G828" t="s">
        <v>6347</v>
      </c>
      <c r="H828" t="s">
        <v>6348</v>
      </c>
      <c r="I828" t="s">
        <v>26</v>
      </c>
      <c r="J828" t="s">
        <v>27</v>
      </c>
      <c r="K828" t="s">
        <v>6349</v>
      </c>
      <c r="L828" t="s">
        <v>6344</v>
      </c>
      <c r="M828" t="s">
        <v>6350</v>
      </c>
      <c r="N828" t="s">
        <v>26</v>
      </c>
      <c r="O828" t="s">
        <v>6351</v>
      </c>
      <c r="P828">
        <v>918590925353</v>
      </c>
      <c r="Q828" s="3" t="d">
        <v>2026-01-10</v>
      </c>
      <c r="R828" t="s">
        <v>6352</v>
      </c>
      <c r="S828" t="s">
        <v>6353</v>
      </c>
    </row>
    <row r="829" spans="1:19" x14ac:dyDescent="0.2">
      <c r="A829" t="s">
        <v>6354</v>
      </c>
      <c r="B829" t="s">
        <v>26</v>
      </c>
      <c r="C829" t="s">
        <v>6355</v>
      </c>
      <c r="D829" t="s">
        <v>26</v>
      </c>
      <c r="E829" t="s">
        <v>26</v>
      </c>
      <c r="F829" t="s">
        <v>26</v>
      </c>
      <c r="G829" t="s">
        <v>6356</v>
      </c>
      <c r="H829" t="s">
        <v>26</v>
      </c>
      <c r="I829" t="s">
        <v>26</v>
      </c>
      <c r="J829" t="s">
        <v>26</v>
      </c>
      <c r="K829" t="s">
        <v>26</v>
      </c>
      <c r="L829" t="s">
        <v>6357</v>
      </c>
      <c r="M829" t="s">
        <v>6358</v>
      </c>
      <c r="N829" t="s">
        <v>26</v>
      </c>
      <c r="O829" t="s">
        <v>26</v>
      </c>
      <c r="P829" t="s">
        <v>26</v>
      </c>
      <c r="Q829" t="s">
        <v>26</v>
      </c>
      <c r="R829" t="s">
        <v>1263</v>
      </c>
      <c r="S829" t="s">
        <v>6359</v>
      </c>
    </row>
    <row r="830" spans="1:19" x14ac:dyDescent="0.2">
      <c r="A830" t="s">
        <v>6360</v>
      </c>
      <c r="B830" t="s">
        <v>6361</v>
      </c>
      <c r="C830" t="s">
        <v>6362</v>
      </c>
      <c r="D830" t="s">
        <v>22</v>
      </c>
      <c r="E830" t="b">
        <v>0</v>
      </c>
      <c r="F830" t="s">
        <v>23</v>
      </c>
      <c r="G830" t="s">
        <v>6363</v>
      </c>
      <c r="H830" t="s">
        <v>1071</v>
      </c>
      <c r="I830" t="s">
        <v>26</v>
      </c>
      <c r="J830" t="s">
        <v>27</v>
      </c>
      <c r="K830" t="s">
        <v>6364</v>
      </c>
      <c r="L830" t="s">
        <v>6365</v>
      </c>
      <c r="M830" t="s">
        <v>6366</v>
      </c>
      <c r="N830" t="s">
        <v>26</v>
      </c>
      <c r="O830" t="s">
        <v>6367</v>
      </c>
      <c r="P830" t="s">
        <v>6368</v>
      </c>
      <c r="Q830" s="1" t="d">
        <v>1950-11-01</v>
      </c>
      <c r="R830" t="s">
        <v>1263</v>
      </c>
      <c r="S830" t="s">
        <v>6369</v>
      </c>
    </row>
    <row r="831" spans="1:19" x14ac:dyDescent="0.2">
      <c r="A831" t="s">
        <v>6370</v>
      </c>
      <c r="B831" t="s">
        <v>26</v>
      </c>
      <c r="C831" t="s">
        <v>6371</v>
      </c>
      <c r="D831" t="s">
        <v>26</v>
      </c>
      <c r="E831" t="s">
        <v>26</v>
      </c>
      <c r="F831" t="s">
        <v>26</v>
      </c>
      <c r="G831" t="s">
        <v>6372</v>
      </c>
      <c r="H831" t="s">
        <v>26</v>
      </c>
      <c r="I831" t="s">
        <v>26</v>
      </c>
      <c r="J831" t="s">
        <v>26</v>
      </c>
      <c r="K831" t="s">
        <v>6373</v>
      </c>
      <c r="L831" t="s">
        <v>6370</v>
      </c>
      <c r="M831" t="s">
        <v>6374</v>
      </c>
      <c r="N831" t="s">
        <v>26</v>
      </c>
      <c r="O831" t="s">
        <v>26</v>
      </c>
      <c r="P831" t="s">
        <v>26</v>
      </c>
      <c r="Q831" t="s">
        <v>26</v>
      </c>
      <c r="R831" t="s">
        <v>1263</v>
      </c>
      <c r="S831" t="s">
        <v>6375</v>
      </c>
    </row>
    <row r="832" spans="1:19" x14ac:dyDescent="0.2">
      <c r="A832" t="s">
        <v>6376</v>
      </c>
      <c r="B832" t="s">
        <v>26</v>
      </c>
      <c r="C832" t="s">
        <v>6377</v>
      </c>
      <c r="D832" t="s">
        <v>26</v>
      </c>
      <c r="E832" t="s">
        <v>26</v>
      </c>
      <c r="F832" t="s">
        <v>26</v>
      </c>
      <c r="G832" t="s">
        <v>6378</v>
      </c>
      <c r="H832" t="s">
        <v>26</v>
      </c>
      <c r="I832" t="s">
        <v>26</v>
      </c>
      <c r="J832" t="s">
        <v>26</v>
      </c>
      <c r="K832" t="s">
        <v>26</v>
      </c>
      <c r="L832" t="s">
        <v>26</v>
      </c>
      <c r="M832" t="s">
        <v>26</v>
      </c>
      <c r="N832" t="s">
        <v>26</v>
      </c>
      <c r="O832" t="s">
        <v>26</v>
      </c>
      <c r="P832" t="s">
        <v>26</v>
      </c>
      <c r="Q832" t="s">
        <v>26</v>
      </c>
      <c r="R832" t="s">
        <v>1263</v>
      </c>
      <c r="S832" t="s">
        <v>6379</v>
      </c>
    </row>
    <row r="833" spans="1:19" x14ac:dyDescent="0.2">
      <c r="A833" t="s">
        <v>6380</v>
      </c>
      <c r="B833" t="s">
        <v>26</v>
      </c>
      <c r="C833" t="s">
        <v>6381</v>
      </c>
      <c r="D833" t="s">
        <v>26</v>
      </c>
      <c r="E833" t="s">
        <v>26</v>
      </c>
      <c r="F833" t="s">
        <v>26</v>
      </c>
      <c r="G833" t="s">
        <v>6382</v>
      </c>
      <c r="H833" t="s">
        <v>26</v>
      </c>
      <c r="I833" t="s">
        <v>26</v>
      </c>
      <c r="J833" t="s">
        <v>26</v>
      </c>
      <c r="K833" t="s">
        <v>26</v>
      </c>
      <c r="L833" t="s">
        <v>26</v>
      </c>
      <c r="M833" t="s">
        <v>26</v>
      </c>
      <c r="N833" t="s">
        <v>26</v>
      </c>
      <c r="O833" t="s">
        <v>26</v>
      </c>
      <c r="P833" t="s">
        <v>26</v>
      </c>
      <c r="Q833" t="s">
        <v>26</v>
      </c>
      <c r="R833" t="s">
        <v>1263</v>
      </c>
      <c r="S833" t="s">
        <v>6383</v>
      </c>
    </row>
    <row r="834" spans="1:19" x14ac:dyDescent="0.2">
      <c r="A834" t="s">
        <v>6384</v>
      </c>
      <c r="B834" t="s">
        <v>26</v>
      </c>
      <c r="C834" t="s">
        <v>6385</v>
      </c>
      <c r="D834" t="s">
        <v>26</v>
      </c>
      <c r="E834" t="s">
        <v>26</v>
      </c>
      <c r="F834" t="s">
        <v>26</v>
      </c>
      <c r="G834" t="s">
        <v>6386</v>
      </c>
      <c r="H834" t="s">
        <v>26</v>
      </c>
      <c r="I834" t="s">
        <v>26</v>
      </c>
      <c r="J834" t="s">
        <v>26</v>
      </c>
      <c r="K834" t="s">
        <v>6387</v>
      </c>
      <c r="L834" t="s">
        <v>6384</v>
      </c>
      <c r="M834" t="s">
        <v>6388</v>
      </c>
      <c r="N834" t="s">
        <v>26</v>
      </c>
      <c r="O834" t="s">
        <v>26</v>
      </c>
      <c r="P834" t="s">
        <v>26</v>
      </c>
      <c r="Q834" t="s">
        <v>26</v>
      </c>
      <c r="R834" t="s">
        <v>1263</v>
      </c>
      <c r="S834" t="s">
        <v>6389</v>
      </c>
    </row>
    <row r="835" spans="1:19" x14ac:dyDescent="0.2">
      <c r="A835" t="s">
        <v>6390</v>
      </c>
      <c r="B835" t="s">
        <v>26</v>
      </c>
      <c r="C835" t="s">
        <v>6391</v>
      </c>
      <c r="D835" t="s">
        <v>26</v>
      </c>
      <c r="E835" t="s">
        <v>26</v>
      </c>
      <c r="F835" t="s">
        <v>26</v>
      </c>
      <c r="G835" t="s">
        <v>6392</v>
      </c>
      <c r="H835" t="s">
        <v>26</v>
      </c>
      <c r="I835" t="s">
        <v>26</v>
      </c>
      <c r="J835" t="s">
        <v>26</v>
      </c>
      <c r="K835" t="s">
        <v>6393</v>
      </c>
      <c r="L835" t="s">
        <v>6390</v>
      </c>
      <c r="M835" t="s">
        <v>26</v>
      </c>
      <c r="N835" t="s">
        <v>26</v>
      </c>
      <c r="O835" t="s">
        <v>26</v>
      </c>
      <c r="P835" t="s">
        <v>26</v>
      </c>
      <c r="Q835" t="s">
        <v>26</v>
      </c>
      <c r="R835" t="s">
        <v>1263</v>
      </c>
      <c r="S835" t="s">
        <v>6394</v>
      </c>
    </row>
    <row r="836" spans="1:19" x14ac:dyDescent="0.2">
      <c r="A836" t="s">
        <v>6395</v>
      </c>
      <c r="B836" t="s">
        <v>26</v>
      </c>
      <c r="C836" t="s">
        <v>6396</v>
      </c>
      <c r="D836" t="s">
        <v>26</v>
      </c>
      <c r="E836" t="s">
        <v>26</v>
      </c>
      <c r="F836" t="s">
        <v>26</v>
      </c>
      <c r="G836" t="s">
        <v>6397</v>
      </c>
      <c r="H836" t="s">
        <v>26</v>
      </c>
      <c r="I836" t="s">
        <v>26</v>
      </c>
      <c r="J836" t="s">
        <v>26</v>
      </c>
      <c r="K836" t="s">
        <v>26</v>
      </c>
      <c r="L836" t="s">
        <v>26</v>
      </c>
      <c r="M836" t="s">
        <v>26</v>
      </c>
      <c r="N836" t="s">
        <v>26</v>
      </c>
      <c r="O836" t="s">
        <v>26</v>
      </c>
      <c r="P836" t="s">
        <v>26</v>
      </c>
      <c r="Q836" t="s">
        <v>26</v>
      </c>
      <c r="R836" t="s">
        <v>1263</v>
      </c>
      <c r="S836" t="s">
        <v>6398</v>
      </c>
    </row>
    <row r="837" spans="1:19" x14ac:dyDescent="0.2">
      <c r="A837" t="s">
        <v>6399</v>
      </c>
      <c r="B837" t="s">
        <v>26</v>
      </c>
      <c r="C837" t="s">
        <v>6400</v>
      </c>
      <c r="D837" t="s">
        <v>26</v>
      </c>
      <c r="E837" t="s">
        <v>26</v>
      </c>
      <c r="F837" t="s">
        <v>26</v>
      </c>
      <c r="G837" t="s">
        <v>6401</v>
      </c>
      <c r="H837" t="s">
        <v>26</v>
      </c>
      <c r="I837" t="s">
        <v>26</v>
      </c>
      <c r="J837" t="s">
        <v>26</v>
      </c>
      <c r="K837" t="s">
        <v>6402</v>
      </c>
      <c r="L837" t="s">
        <v>6403</v>
      </c>
      <c r="M837" t="s">
        <v>26</v>
      </c>
      <c r="N837" t="s">
        <v>26</v>
      </c>
      <c r="O837" t="s">
        <v>26</v>
      </c>
      <c r="P837" t="s">
        <v>26</v>
      </c>
      <c r="Q837" t="s">
        <v>26</v>
      </c>
      <c r="R837" t="s">
        <v>1484</v>
      </c>
      <c r="S837" t="s">
        <v>6404</v>
      </c>
    </row>
    <row r="838" spans="1:19" x14ac:dyDescent="0.2">
      <c r="A838" t="s">
        <v>6405</v>
      </c>
      <c r="B838" t="s">
        <v>26</v>
      </c>
      <c r="C838" t="s">
        <v>6406</v>
      </c>
      <c r="D838" t="s">
        <v>26</v>
      </c>
      <c r="E838" t="s">
        <v>26</v>
      </c>
      <c r="F838" t="s">
        <v>26</v>
      </c>
      <c r="G838" t="s">
        <v>6407</v>
      </c>
      <c r="H838" t="s">
        <v>26</v>
      </c>
      <c r="I838" t="s">
        <v>26</v>
      </c>
      <c r="J838" t="s">
        <v>26</v>
      </c>
      <c r="K838" t="s">
        <v>6408</v>
      </c>
      <c r="L838" t="s">
        <v>6409</v>
      </c>
      <c r="M838" t="s">
        <v>26</v>
      </c>
      <c r="N838" t="s">
        <v>26</v>
      </c>
      <c r="O838" t="s">
        <v>26</v>
      </c>
      <c r="P838" t="s">
        <v>26</v>
      </c>
      <c r="Q838" t="s">
        <v>26</v>
      </c>
      <c r="R838" t="s">
        <v>1263</v>
      </c>
      <c r="S838" t="s">
        <v>6410</v>
      </c>
    </row>
    <row r="839" spans="1:19" x14ac:dyDescent="0.2">
      <c r="A839" t="s">
        <v>6411</v>
      </c>
      <c r="B839" t="s">
        <v>26</v>
      </c>
      <c r="C839" t="s">
        <v>6412</v>
      </c>
      <c r="D839" t="s">
        <v>26</v>
      </c>
      <c r="E839" t="s">
        <v>26</v>
      </c>
      <c r="F839" t="s">
        <v>26</v>
      </c>
      <c r="G839" t="s">
        <v>6413</v>
      </c>
      <c r="H839" t="s">
        <v>26</v>
      </c>
      <c r="I839" t="s">
        <v>26</v>
      </c>
      <c r="J839" t="s">
        <v>26</v>
      </c>
      <c r="K839" t="s">
        <v>26</v>
      </c>
      <c r="L839" t="s">
        <v>6411</v>
      </c>
      <c r="M839" t="s">
        <v>26</v>
      </c>
      <c r="N839" t="s">
        <v>26</v>
      </c>
      <c r="O839" t="s">
        <v>26</v>
      </c>
      <c r="P839" t="s">
        <v>26</v>
      </c>
      <c r="Q839" t="s">
        <v>26</v>
      </c>
      <c r="R839" t="s">
        <v>6228</v>
      </c>
      <c r="S839" t="s">
        <v>6414</v>
      </c>
    </row>
    <row r="840" spans="1:19" x14ac:dyDescent="0.2">
      <c r="A840" t="s">
        <v>6415</v>
      </c>
      <c r="B840" t="s">
        <v>26</v>
      </c>
      <c r="C840" t="s">
        <v>6416</v>
      </c>
      <c r="D840" t="s">
        <v>26</v>
      </c>
      <c r="E840" t="s">
        <v>26</v>
      </c>
      <c r="F840" t="s">
        <v>26</v>
      </c>
      <c r="G840" t="s">
        <v>6417</v>
      </c>
      <c r="H840" t="s">
        <v>26</v>
      </c>
      <c r="I840" t="s">
        <v>26</v>
      </c>
      <c r="J840" t="s">
        <v>26</v>
      </c>
      <c r="K840" t="s">
        <v>26</v>
      </c>
      <c r="L840" t="s">
        <v>26</v>
      </c>
      <c r="M840" t="s">
        <v>26</v>
      </c>
      <c r="N840" t="s">
        <v>26</v>
      </c>
      <c r="O840" t="s">
        <v>26</v>
      </c>
      <c r="P840" t="s">
        <v>26</v>
      </c>
      <c r="Q840" t="s">
        <v>26</v>
      </c>
      <c r="R840" t="s">
        <v>1263</v>
      </c>
      <c r="S840" t="s">
        <v>6418</v>
      </c>
    </row>
    <row r="841" spans="1:19" x14ac:dyDescent="0.2">
      <c r="A841" t="s">
        <v>6419</v>
      </c>
      <c r="B841" t="s">
        <v>26</v>
      </c>
      <c r="C841" t="s">
        <v>6420</v>
      </c>
      <c r="D841" t="s">
        <v>26</v>
      </c>
      <c r="E841" t="s">
        <v>26</v>
      </c>
      <c r="F841" t="s">
        <v>26</v>
      </c>
      <c r="G841" t="s">
        <v>6421</v>
      </c>
      <c r="H841" t="s">
        <v>26</v>
      </c>
      <c r="I841" t="s">
        <v>26</v>
      </c>
      <c r="J841" t="s">
        <v>26</v>
      </c>
      <c r="K841" t="s">
        <v>6422</v>
      </c>
      <c r="L841" t="s">
        <v>6419</v>
      </c>
      <c r="M841" t="s">
        <v>6423</v>
      </c>
      <c r="N841" t="s">
        <v>26</v>
      </c>
      <c r="O841" t="s">
        <v>26</v>
      </c>
      <c r="P841" t="s">
        <v>26</v>
      </c>
      <c r="Q841" t="s">
        <v>26</v>
      </c>
      <c r="R841" t="s">
        <v>1263</v>
      </c>
      <c r="S841" t="s">
        <v>6424</v>
      </c>
    </row>
    <row r="842" spans="1:19" x14ac:dyDescent="0.2">
      <c r="A842" t="s">
        <v>6425</v>
      </c>
      <c r="B842" t="s">
        <v>26</v>
      </c>
      <c r="C842" t="s">
        <v>6426</v>
      </c>
      <c r="D842" t="s">
        <v>26</v>
      </c>
      <c r="E842" t="s">
        <v>26</v>
      </c>
      <c r="F842" t="s">
        <v>26</v>
      </c>
      <c r="G842" t="s">
        <v>6427</v>
      </c>
      <c r="H842" t="s">
        <v>26</v>
      </c>
      <c r="I842" t="s">
        <v>26</v>
      </c>
      <c r="J842" t="s">
        <v>26</v>
      </c>
      <c r="K842" t="s">
        <v>6428</v>
      </c>
      <c r="L842" t="s">
        <v>26</v>
      </c>
      <c r="M842" t="s">
        <v>26</v>
      </c>
      <c r="N842" t="s">
        <v>26</v>
      </c>
      <c r="O842" t="s">
        <v>26</v>
      </c>
      <c r="P842" t="s">
        <v>26</v>
      </c>
      <c r="Q842" t="s">
        <v>26</v>
      </c>
      <c r="R842" t="s">
        <v>1263</v>
      </c>
      <c r="S842" t="s">
        <v>6429</v>
      </c>
    </row>
    <row r="843" spans="1:19" x14ac:dyDescent="0.2">
      <c r="A843" t="s">
        <v>6430</v>
      </c>
      <c r="B843" t="s">
        <v>26</v>
      </c>
      <c r="C843" t="s">
        <v>6431</v>
      </c>
      <c r="D843" t="s">
        <v>26</v>
      </c>
      <c r="E843" t="s">
        <v>26</v>
      </c>
      <c r="F843" t="s">
        <v>26</v>
      </c>
      <c r="G843" t="s">
        <v>6432</v>
      </c>
      <c r="H843" t="s">
        <v>26</v>
      </c>
      <c r="I843" t="s">
        <v>26</v>
      </c>
      <c r="J843" t="s">
        <v>26</v>
      </c>
      <c r="K843" t="s">
        <v>26</v>
      </c>
      <c r="L843" t="s">
        <v>6433</v>
      </c>
      <c r="M843" t="s">
        <v>26</v>
      </c>
      <c r="N843" t="s">
        <v>26</v>
      </c>
      <c r="O843" t="s">
        <v>26</v>
      </c>
      <c r="P843" t="s">
        <v>26</v>
      </c>
      <c r="Q843" t="s">
        <v>26</v>
      </c>
      <c r="R843" t="s">
        <v>3134</v>
      </c>
      <c r="S843" t="s">
        <v>6434</v>
      </c>
    </row>
    <row r="844" spans="1:19" x14ac:dyDescent="0.2">
      <c r="A844" t="s">
        <v>6435</v>
      </c>
      <c r="B844" t="s">
        <v>6435</v>
      </c>
      <c r="C844" t="s">
        <v>6436</v>
      </c>
      <c r="D844" t="s">
        <v>22</v>
      </c>
      <c r="E844" t="b">
        <v>0</v>
      </c>
      <c r="F844" t="s">
        <v>26</v>
      </c>
      <c r="G844" t="s">
        <v>6437</v>
      </c>
      <c r="H844" t="s">
        <v>6438</v>
      </c>
      <c r="I844" t="s">
        <v>26</v>
      </c>
      <c r="J844" t="s">
        <v>27</v>
      </c>
      <c r="K844" t="s">
        <v>6439</v>
      </c>
      <c r="L844" t="s">
        <v>6435</v>
      </c>
      <c r="M844" t="s">
        <v>26</v>
      </c>
      <c r="N844" t="s">
        <v>26</v>
      </c>
      <c r="O844" t="s">
        <v>26</v>
      </c>
      <c r="P844" t="s">
        <v>26</v>
      </c>
      <c r="Q844" s="1" t="d">
        <v>1950-11-01</v>
      </c>
      <c r="R844" t="s">
        <v>1263</v>
      </c>
      <c r="S844" t="s">
        <v>6440</v>
      </c>
    </row>
    <row r="845" spans="1:19" x14ac:dyDescent="0.2">
      <c r="A845" t="s">
        <v>6441</v>
      </c>
      <c r="B845" t="s">
        <v>26</v>
      </c>
      <c r="C845" t="s">
        <v>6442</v>
      </c>
      <c r="D845" t="s">
        <v>26</v>
      </c>
      <c r="E845" t="s">
        <v>26</v>
      </c>
      <c r="F845" t="s">
        <v>26</v>
      </c>
      <c r="G845" t="s">
        <v>6443</v>
      </c>
      <c r="H845" t="s">
        <v>26</v>
      </c>
      <c r="I845" t="s">
        <v>26</v>
      </c>
      <c r="J845" t="s">
        <v>26</v>
      </c>
      <c r="K845" t="s">
        <v>6444</v>
      </c>
      <c r="L845" t="s">
        <v>6445</v>
      </c>
      <c r="M845" t="s">
        <v>6446</v>
      </c>
      <c r="N845" t="s">
        <v>26</v>
      </c>
      <c r="O845" t="s">
        <v>26</v>
      </c>
      <c r="P845" t="s">
        <v>26</v>
      </c>
      <c r="Q845" t="s">
        <v>26</v>
      </c>
      <c r="R845" t="s">
        <v>5658</v>
      </c>
      <c r="S845" t="s">
        <v>6447</v>
      </c>
    </row>
    <row r="846" spans="1:19" x14ac:dyDescent="0.2">
      <c r="A846" t="s">
        <v>6448</v>
      </c>
      <c r="B846" t="s">
        <v>6449</v>
      </c>
      <c r="C846" t="s">
        <v>6450</v>
      </c>
      <c r="D846" t="s">
        <v>22</v>
      </c>
      <c r="E846" t="b">
        <v>0</v>
      </c>
      <c r="F846" t="s">
        <v>23</v>
      </c>
      <c r="G846" t="s">
        <v>6451</v>
      </c>
      <c r="H846" t="s">
        <v>188</v>
      </c>
      <c r="I846" t="s">
        <v>26</v>
      </c>
      <c r="J846" t="s">
        <v>27</v>
      </c>
      <c r="K846" t="s">
        <v>6452</v>
      </c>
      <c r="L846" t="s">
        <v>6453</v>
      </c>
      <c r="M846" t="s">
        <v>26</v>
      </c>
      <c r="N846" t="s">
        <v>26</v>
      </c>
      <c r="O846" t="s">
        <v>26</v>
      </c>
      <c r="P846" t="s">
        <v>26</v>
      </c>
      <c r="Q846" s="3" t="d">
        <v>2026-01-10</v>
      </c>
      <c r="R846" t="s">
        <v>5658</v>
      </c>
      <c r="S846" t="s">
        <v>6454</v>
      </c>
    </row>
    <row r="847" spans="1:19" x14ac:dyDescent="0.2">
      <c r="A847" t="s">
        <v>6455</v>
      </c>
      <c r="B847" t="s">
        <v>26</v>
      </c>
      <c r="C847" t="s">
        <v>6456</v>
      </c>
      <c r="D847" t="s">
        <v>26</v>
      </c>
      <c r="E847" t="s">
        <v>26</v>
      </c>
      <c r="F847" t="s">
        <v>26</v>
      </c>
      <c r="G847" t="s">
        <v>6457</v>
      </c>
      <c r="H847" t="s">
        <v>26</v>
      </c>
      <c r="I847" t="s">
        <v>26</v>
      </c>
      <c r="J847" t="s">
        <v>26</v>
      </c>
      <c r="K847" t="s">
        <v>6458</v>
      </c>
      <c r="L847" t="s">
        <v>6459</v>
      </c>
      <c r="M847" t="s">
        <v>6460</v>
      </c>
      <c r="N847" t="s">
        <v>26</v>
      </c>
      <c r="O847" t="s">
        <v>26</v>
      </c>
      <c r="P847" t="s">
        <v>26</v>
      </c>
      <c r="Q847" t="s">
        <v>26</v>
      </c>
      <c r="R847" t="s">
        <v>5658</v>
      </c>
      <c r="S847" t="s">
        <v>6461</v>
      </c>
    </row>
    <row r="848" spans="1:19" x14ac:dyDescent="0.2">
      <c r="A848" t="s">
        <v>6462</v>
      </c>
      <c r="B848" t="s">
        <v>6462</v>
      </c>
      <c r="C848" t="s">
        <v>6463</v>
      </c>
      <c r="D848" t="s">
        <v>22</v>
      </c>
      <c r="E848" t="b">
        <v>0</v>
      </c>
      <c r="F848" t="s">
        <v>23</v>
      </c>
      <c r="G848" t="s">
        <v>6464</v>
      </c>
      <c r="H848" t="s">
        <v>188</v>
      </c>
      <c r="I848" s="2" t="d">
        <v>2021-01-01</v>
      </c>
      <c r="J848" t="s">
        <v>27</v>
      </c>
      <c r="K848" t="s">
        <v>6465</v>
      </c>
      <c r="L848" t="s">
        <v>6462</v>
      </c>
      <c r="M848" t="s">
        <v>6466</v>
      </c>
      <c r="N848" t="s">
        <v>26</v>
      </c>
      <c r="O848" t="s">
        <v>26</v>
      </c>
      <c r="P848" t="s">
        <v>26</v>
      </c>
      <c r="Q848" s="1" t="d">
        <v>1950-11-01</v>
      </c>
      <c r="R848" t="s">
        <v>41</v>
      </c>
      <c r="S848" t="s">
        <v>6467</v>
      </c>
    </row>
    <row r="849" spans="1:19" x14ac:dyDescent="0.2">
      <c r="A849" t="s">
        <v>6468</v>
      </c>
      <c r="B849" t="s">
        <v>6469</v>
      </c>
      <c r="C849" t="s">
        <v>6470</v>
      </c>
      <c r="D849" t="s">
        <v>22</v>
      </c>
      <c r="E849" t="b">
        <v>0</v>
      </c>
      <c r="F849" t="s">
        <v>23</v>
      </c>
      <c r="G849" t="s">
        <v>6471</v>
      </c>
      <c r="H849" t="s">
        <v>6472</v>
      </c>
      <c r="I849" t="s">
        <v>26</v>
      </c>
      <c r="J849" t="s">
        <v>27</v>
      </c>
      <c r="K849" t="s">
        <v>6473</v>
      </c>
      <c r="L849" t="s">
        <v>6469</v>
      </c>
      <c r="M849" t="s">
        <v>6474</v>
      </c>
      <c r="N849" t="s">
        <v>6475</v>
      </c>
      <c r="O849" t="s">
        <v>26</v>
      </c>
      <c r="P849" t="s">
        <v>26</v>
      </c>
      <c r="Q849" s="1" t="d">
        <v>1950-11-01</v>
      </c>
      <c r="R849" t="s">
        <v>6476</v>
      </c>
      <c r="S849" t="s">
        <v>6477</v>
      </c>
    </row>
    <row r="850" spans="1:19" x14ac:dyDescent="0.2">
      <c r="A850" t="s">
        <v>6478</v>
      </c>
      <c r="B850" t="s">
        <v>6478</v>
      </c>
      <c r="C850" t="s">
        <v>6479</v>
      </c>
      <c r="D850" t="s">
        <v>22</v>
      </c>
      <c r="E850" t="b">
        <v>0</v>
      </c>
      <c r="F850" t="s">
        <v>23</v>
      </c>
      <c r="G850" t="s">
        <v>6480</v>
      </c>
      <c r="H850" t="s">
        <v>6481</v>
      </c>
      <c r="I850" s="2" t="d">
        <v>2017-01-01</v>
      </c>
      <c r="J850" t="s">
        <v>27</v>
      </c>
      <c r="K850" t="s">
        <v>6482</v>
      </c>
      <c r="L850" t="s">
        <v>6478</v>
      </c>
      <c r="M850" t="s">
        <v>6483</v>
      </c>
      <c r="N850" t="s">
        <v>6484</v>
      </c>
      <c r="O850" t="s">
        <v>6485</v>
      </c>
      <c r="P850" t="s">
        <v>6486</v>
      </c>
      <c r="Q850" s="1" t="d">
        <v>1950-11-01</v>
      </c>
      <c r="R850" t="s">
        <v>41</v>
      </c>
      <c r="S850" t="s">
        <v>6487</v>
      </c>
    </row>
    <row r="851" spans="1:19" x14ac:dyDescent="0.2">
      <c r="A851" t="s">
        <v>6488</v>
      </c>
      <c r="B851" t="s">
        <v>26</v>
      </c>
      <c r="C851" t="s">
        <v>6489</v>
      </c>
      <c r="D851" t="s">
        <v>26</v>
      </c>
      <c r="E851" t="s">
        <v>26</v>
      </c>
      <c r="F851" t="s">
        <v>26</v>
      </c>
      <c r="G851" t="s">
        <v>6490</v>
      </c>
      <c r="H851" t="s">
        <v>26</v>
      </c>
      <c r="I851" t="s">
        <v>26</v>
      </c>
      <c r="J851" t="s">
        <v>26</v>
      </c>
      <c r="K851" t="s">
        <v>6491</v>
      </c>
      <c r="L851" t="s">
        <v>6488</v>
      </c>
      <c r="M851" t="s">
        <v>6492</v>
      </c>
      <c r="N851" t="s">
        <v>26</v>
      </c>
      <c r="O851" t="s">
        <v>26</v>
      </c>
      <c r="P851" t="s">
        <v>26</v>
      </c>
      <c r="Q851" t="s">
        <v>26</v>
      </c>
      <c r="R851" t="s">
        <v>1696</v>
      </c>
      <c r="S851" t="s">
        <v>6493</v>
      </c>
    </row>
    <row r="852" spans="1:19" x14ac:dyDescent="0.2">
      <c r="A852" t="s">
        <v>6494</v>
      </c>
      <c r="B852" t="s">
        <v>26</v>
      </c>
      <c r="C852" t="s">
        <v>6495</v>
      </c>
      <c r="D852" t="s">
        <v>26</v>
      </c>
      <c r="E852" t="s">
        <v>26</v>
      </c>
      <c r="F852" t="s">
        <v>26</v>
      </c>
      <c r="G852" t="s">
        <v>6496</v>
      </c>
      <c r="H852" t="s">
        <v>26</v>
      </c>
      <c r="I852" t="s">
        <v>26</v>
      </c>
      <c r="J852" t="s">
        <v>26</v>
      </c>
      <c r="K852" t="s">
        <v>6497</v>
      </c>
      <c r="L852" t="s">
        <v>6498</v>
      </c>
      <c r="M852" t="s">
        <v>26</v>
      </c>
      <c r="N852" t="s">
        <v>26</v>
      </c>
      <c r="O852" t="s">
        <v>26</v>
      </c>
      <c r="P852" t="s">
        <v>26</v>
      </c>
      <c r="Q852" t="s">
        <v>26</v>
      </c>
      <c r="R852" t="s">
        <v>6499</v>
      </c>
      <c r="S852" t="s">
        <v>6500</v>
      </c>
    </row>
    <row r="853" spans="1:19" x14ac:dyDescent="0.2">
      <c r="A853" t="s">
        <v>6501</v>
      </c>
      <c r="B853" t="s">
        <v>6502</v>
      </c>
      <c r="C853" t="s">
        <v>6503</v>
      </c>
      <c r="D853" t="s">
        <v>22</v>
      </c>
      <c r="E853" t="b">
        <v>0</v>
      </c>
      <c r="F853" t="s">
        <v>23</v>
      </c>
      <c r="G853" t="s">
        <v>6504</v>
      </c>
      <c r="H853" t="s">
        <v>737</v>
      </c>
      <c r="I853" t="s">
        <v>26</v>
      </c>
      <c r="J853" t="s">
        <v>27</v>
      </c>
      <c r="K853" t="s">
        <v>6505</v>
      </c>
      <c r="L853" t="s">
        <v>6502</v>
      </c>
      <c r="M853" t="s">
        <v>6506</v>
      </c>
      <c r="N853" t="s">
        <v>26</v>
      </c>
      <c r="O853" t="s">
        <v>6507</v>
      </c>
      <c r="P853" t="s">
        <v>6508</v>
      </c>
      <c r="Q853" s="1" t="d">
        <v>1950-11-01</v>
      </c>
      <c r="R853" t="s">
        <v>2377</v>
      </c>
      <c r="S853" t="s">
        <v>6509</v>
      </c>
    </row>
    <row r="854" spans="1:19" x14ac:dyDescent="0.2">
      <c r="A854" t="s">
        <v>6510</v>
      </c>
      <c r="B854" t="s">
        <v>26</v>
      </c>
      <c r="C854" t="s">
        <v>6511</v>
      </c>
      <c r="D854" t="s">
        <v>26</v>
      </c>
      <c r="E854" t="s">
        <v>26</v>
      </c>
      <c r="F854" t="s">
        <v>26</v>
      </c>
      <c r="G854" t="s">
        <v>6512</v>
      </c>
      <c r="H854" t="s">
        <v>26</v>
      </c>
      <c r="I854" t="s">
        <v>26</v>
      </c>
      <c r="J854" t="s">
        <v>26</v>
      </c>
      <c r="K854" t="s">
        <v>6513</v>
      </c>
      <c r="L854" t="s">
        <v>6510</v>
      </c>
      <c r="M854" t="s">
        <v>26</v>
      </c>
      <c r="N854" t="s">
        <v>26</v>
      </c>
      <c r="O854" t="s">
        <v>26</v>
      </c>
      <c r="P854" t="s">
        <v>26</v>
      </c>
      <c r="Q854" t="s">
        <v>26</v>
      </c>
      <c r="R854" t="s">
        <v>4757</v>
      </c>
      <c r="S854" t="s">
        <v>6514</v>
      </c>
    </row>
    <row r="855" spans="1:19" x14ac:dyDescent="0.2">
      <c r="A855" t="s">
        <v>6515</v>
      </c>
      <c r="B855" t="s">
        <v>26</v>
      </c>
      <c r="C855" t="s">
        <v>6516</v>
      </c>
      <c r="D855" t="s">
        <v>26</v>
      </c>
      <c r="E855" t="s">
        <v>26</v>
      </c>
      <c r="F855" t="s">
        <v>26</v>
      </c>
      <c r="G855" t="s">
        <v>6517</v>
      </c>
      <c r="H855" t="s">
        <v>26</v>
      </c>
      <c r="I855" t="s">
        <v>26</v>
      </c>
      <c r="J855" t="s">
        <v>26</v>
      </c>
      <c r="K855" t="s">
        <v>6518</v>
      </c>
      <c r="L855" t="s">
        <v>6519</v>
      </c>
      <c r="M855" t="s">
        <v>26</v>
      </c>
      <c r="N855" t="s">
        <v>26</v>
      </c>
      <c r="O855" t="s">
        <v>26</v>
      </c>
      <c r="P855" t="s">
        <v>26</v>
      </c>
      <c r="Q855" t="s">
        <v>26</v>
      </c>
      <c r="R855" t="s">
        <v>4757</v>
      </c>
      <c r="S855" t="s">
        <v>6520</v>
      </c>
    </row>
    <row r="856" spans="1:19" x14ac:dyDescent="0.2">
      <c r="A856" t="s">
        <v>6521</v>
      </c>
      <c r="B856" t="s">
        <v>26</v>
      </c>
      <c r="C856" t="s">
        <v>6522</v>
      </c>
      <c r="D856" t="s">
        <v>26</v>
      </c>
      <c r="E856" t="s">
        <v>26</v>
      </c>
      <c r="F856" t="s">
        <v>26</v>
      </c>
      <c r="G856" t="s">
        <v>6523</v>
      </c>
      <c r="H856" t="s">
        <v>26</v>
      </c>
      <c r="I856" t="s">
        <v>26</v>
      </c>
      <c r="J856" t="s">
        <v>26</v>
      </c>
      <c r="K856" t="s">
        <v>6524</v>
      </c>
      <c r="L856" t="s">
        <v>6525</v>
      </c>
      <c r="M856" t="s">
        <v>6526</v>
      </c>
      <c r="N856" t="s">
        <v>26</v>
      </c>
      <c r="O856" t="s">
        <v>26</v>
      </c>
      <c r="P856" t="s">
        <v>26</v>
      </c>
      <c r="Q856" t="s">
        <v>26</v>
      </c>
      <c r="R856" t="s">
        <v>6499</v>
      </c>
      <c r="S856" t="s">
        <v>6527</v>
      </c>
    </row>
    <row r="857" spans="1:19" x14ac:dyDescent="0.2">
      <c r="A857" t="s">
        <v>6528</v>
      </c>
      <c r="B857" t="s">
        <v>6528</v>
      </c>
      <c r="C857" t="s">
        <v>6529</v>
      </c>
      <c r="D857" t="s">
        <v>22</v>
      </c>
      <c r="E857" t="b">
        <v>0</v>
      </c>
      <c r="F857" t="s">
        <v>26</v>
      </c>
      <c r="G857" t="s">
        <v>6530</v>
      </c>
      <c r="H857" t="s">
        <v>5808</v>
      </c>
      <c r="I857" s="2" t="d">
        <v>2023-01-01</v>
      </c>
      <c r="J857" t="s">
        <v>27</v>
      </c>
      <c r="K857" t="s">
        <v>6531</v>
      </c>
      <c r="L857" t="s">
        <v>6532</v>
      </c>
      <c r="M857" t="s">
        <v>6533</v>
      </c>
      <c r="N857" t="s">
        <v>6534</v>
      </c>
      <c r="O857" t="s">
        <v>26</v>
      </c>
      <c r="P857" t="s">
        <v>26</v>
      </c>
      <c r="Q857" s="1" t="d">
        <v>1950-11-01</v>
      </c>
      <c r="R857" t="s">
        <v>1060</v>
      </c>
      <c r="S857" t="s">
        <v>6535</v>
      </c>
    </row>
    <row r="858" spans="1:19" x14ac:dyDescent="0.2">
      <c r="A858" t="s">
        <v>6536</v>
      </c>
      <c r="B858" t="s">
        <v>26</v>
      </c>
      <c r="C858" t="s">
        <v>6537</v>
      </c>
      <c r="D858" t="s">
        <v>26</v>
      </c>
      <c r="E858" t="s">
        <v>26</v>
      </c>
      <c r="F858" t="s">
        <v>26</v>
      </c>
      <c r="G858" t="s">
        <v>6538</v>
      </c>
      <c r="H858" t="s">
        <v>26</v>
      </c>
      <c r="I858" t="s">
        <v>26</v>
      </c>
      <c r="J858" t="s">
        <v>26</v>
      </c>
      <c r="K858" t="s">
        <v>6539</v>
      </c>
      <c r="L858" t="s">
        <v>6540</v>
      </c>
      <c r="M858" t="s">
        <v>6541</v>
      </c>
      <c r="N858" t="s">
        <v>26</v>
      </c>
      <c r="O858" t="s">
        <v>26</v>
      </c>
      <c r="P858" t="s">
        <v>26</v>
      </c>
      <c r="Q858" t="s">
        <v>26</v>
      </c>
      <c r="R858" t="s">
        <v>6542</v>
      </c>
      <c r="S858" t="s">
        <v>6543</v>
      </c>
    </row>
    <row r="859" spans="1:19" x14ac:dyDescent="0.2">
      <c r="A859" t="s">
        <v>5369</v>
      </c>
      <c r="B859" t="s">
        <v>5369</v>
      </c>
      <c r="C859" t="s">
        <v>6544</v>
      </c>
      <c r="D859" t="s">
        <v>22</v>
      </c>
      <c r="E859" t="b">
        <v>0</v>
      </c>
      <c r="F859" t="s">
        <v>23</v>
      </c>
      <c r="G859" t="s">
        <v>6545</v>
      </c>
      <c r="H859" t="s">
        <v>634</v>
      </c>
      <c r="I859" t="s">
        <v>26</v>
      </c>
      <c r="J859" t="s">
        <v>27</v>
      </c>
      <c r="K859" t="s">
        <v>5372</v>
      </c>
      <c r="L859" t="s">
        <v>5373</v>
      </c>
      <c r="M859" t="s">
        <v>5374</v>
      </c>
      <c r="N859" t="s">
        <v>26</v>
      </c>
      <c r="O859" t="s">
        <v>26</v>
      </c>
      <c r="P859" t="s">
        <v>26</v>
      </c>
      <c r="Q859" s="1" t="d">
        <v>1950-11-01</v>
      </c>
      <c r="R859" t="s">
        <v>6546</v>
      </c>
      <c r="S859" t="s">
        <v>6547</v>
      </c>
    </row>
    <row r="860" spans="1:19" x14ac:dyDescent="0.2">
      <c r="A860" t="s">
        <v>6548</v>
      </c>
      <c r="B860" t="s">
        <v>6548</v>
      </c>
      <c r="C860" t="s">
        <v>6549</v>
      </c>
      <c r="D860" t="s">
        <v>22</v>
      </c>
      <c r="E860" t="b">
        <v>0</v>
      </c>
      <c r="F860" t="s">
        <v>23</v>
      </c>
      <c r="G860" t="s">
        <v>6550</v>
      </c>
      <c r="H860" t="s">
        <v>6551</v>
      </c>
      <c r="I860" s="2" t="d">
        <v>2020-01-01</v>
      </c>
      <c r="J860" t="s">
        <v>27</v>
      </c>
      <c r="K860" t="s">
        <v>6552</v>
      </c>
      <c r="L860" t="s">
        <v>6548</v>
      </c>
      <c r="M860" t="s">
        <v>6553</v>
      </c>
      <c r="N860" t="s">
        <v>26</v>
      </c>
      <c r="O860" t="s">
        <v>6554</v>
      </c>
      <c r="P860" t="s">
        <v>6555</v>
      </c>
      <c r="Q860" s="1" t="d">
        <v>1950-11-01</v>
      </c>
      <c r="R860" t="s">
        <v>41</v>
      </c>
      <c r="S860" t="s">
        <v>6556</v>
      </c>
    </row>
    <row r="861" spans="1:19" x14ac:dyDescent="0.2">
      <c r="A861" t="s">
        <v>6557</v>
      </c>
      <c r="B861" t="s">
        <v>6558</v>
      </c>
      <c r="C861" t="s">
        <v>6559</v>
      </c>
      <c r="D861" t="s">
        <v>22</v>
      </c>
      <c r="E861" t="b">
        <v>0</v>
      </c>
      <c r="F861" t="s">
        <v>23</v>
      </c>
      <c r="G861" t="s">
        <v>6560</v>
      </c>
      <c r="H861" t="s">
        <v>986</v>
      </c>
      <c r="I861" t="s">
        <v>26</v>
      </c>
      <c r="J861" t="s">
        <v>27</v>
      </c>
      <c r="K861" t="s">
        <v>6561</v>
      </c>
      <c r="L861" t="s">
        <v>6562</v>
      </c>
      <c r="M861" t="s">
        <v>6563</v>
      </c>
      <c r="N861" t="s">
        <v>6564</v>
      </c>
      <c r="O861" t="s">
        <v>6565</v>
      </c>
      <c r="P861" t="s">
        <v>6566</v>
      </c>
      <c r="Q861" s="1" t="d">
        <v>1950-11-01</v>
      </c>
      <c r="R861" t="s">
        <v>2748</v>
      </c>
      <c r="S861" t="s">
        <v>6567</v>
      </c>
    </row>
    <row r="862" spans="1:19" x14ac:dyDescent="0.2">
      <c r="A862" t="s">
        <v>6568</v>
      </c>
      <c r="B862" t="s">
        <v>6569</v>
      </c>
      <c r="C862" t="s">
        <v>6570</v>
      </c>
      <c r="D862" t="s">
        <v>22</v>
      </c>
      <c r="E862" t="b">
        <v>0</v>
      </c>
      <c r="F862" t="s">
        <v>23</v>
      </c>
      <c r="G862" t="s">
        <v>6571</v>
      </c>
      <c r="H862" t="s">
        <v>6572</v>
      </c>
      <c r="I862" t="s">
        <v>26</v>
      </c>
      <c r="J862" t="s">
        <v>27</v>
      </c>
      <c r="K862" t="s">
        <v>6573</v>
      </c>
      <c r="L862" t="s">
        <v>6569</v>
      </c>
      <c r="M862" t="s">
        <v>6574</v>
      </c>
      <c r="N862" t="s">
        <v>26</v>
      </c>
      <c r="O862" t="s">
        <v>26</v>
      </c>
      <c r="P862" t="s">
        <v>26</v>
      </c>
      <c r="Q862" s="3" t="d">
        <v>2026-01-10</v>
      </c>
      <c r="R862" t="s">
        <v>6575</v>
      </c>
      <c r="S862" t="s">
        <v>6576</v>
      </c>
    </row>
    <row r="863" spans="1:19" x14ac:dyDescent="0.2">
      <c r="A863" t="s">
        <v>6577</v>
      </c>
      <c r="B863" t="s">
        <v>6577</v>
      </c>
      <c r="C863" t="s">
        <v>6578</v>
      </c>
      <c r="D863" t="s">
        <v>22</v>
      </c>
      <c r="E863" t="b">
        <v>0</v>
      </c>
      <c r="F863" t="s">
        <v>23</v>
      </c>
      <c r="G863" t="s">
        <v>6579</v>
      </c>
      <c r="H863" t="s">
        <v>6580</v>
      </c>
      <c r="I863" t="s">
        <v>26</v>
      </c>
      <c r="J863" t="s">
        <v>27</v>
      </c>
      <c r="K863" t="s">
        <v>6581</v>
      </c>
      <c r="L863" t="s">
        <v>6577</v>
      </c>
      <c r="M863" t="s">
        <v>6582</v>
      </c>
      <c r="N863" t="s">
        <v>6583</v>
      </c>
      <c r="O863" t="s">
        <v>6584</v>
      </c>
      <c r="P863" t="s">
        <v>6585</v>
      </c>
      <c r="Q863" s="1" t="d">
        <v>1950-11-01</v>
      </c>
      <c r="R863" t="s">
        <v>1066</v>
      </c>
      <c r="S863" t="s">
        <v>6586</v>
      </c>
    </row>
    <row r="864" spans="1:19" x14ac:dyDescent="0.2">
      <c r="A864" t="s">
        <v>6587</v>
      </c>
      <c r="B864" t="s">
        <v>6587</v>
      </c>
      <c r="C864" t="s">
        <v>6588</v>
      </c>
      <c r="D864" t="s">
        <v>22</v>
      </c>
      <c r="E864" t="b">
        <v>0</v>
      </c>
      <c r="F864" t="s">
        <v>23</v>
      </c>
      <c r="G864" t="s">
        <v>6589</v>
      </c>
      <c r="H864" t="s">
        <v>6590</v>
      </c>
      <c r="I864" s="2" t="d">
        <v>2018-01-01</v>
      </c>
      <c r="J864" t="s">
        <v>27</v>
      </c>
      <c r="K864" t="s">
        <v>6591</v>
      </c>
      <c r="L864" t="s">
        <v>6587</v>
      </c>
      <c r="M864" t="s">
        <v>6592</v>
      </c>
      <c r="N864" t="s">
        <v>26</v>
      </c>
      <c r="O864" t="s">
        <v>6593</v>
      </c>
      <c r="P864">
        <f>120-6870873</f>
        <v>-6870753</v>
      </c>
      <c r="Q864" t="s">
        <v>113</v>
      </c>
      <c r="R864" t="s">
        <v>41</v>
      </c>
      <c r="S864" t="s">
        <v>6594</v>
      </c>
    </row>
    <row r="865" spans="1:19" x14ac:dyDescent="0.2">
      <c r="A865" t="s">
        <v>6595</v>
      </c>
      <c r="B865" t="s">
        <v>6595</v>
      </c>
      <c r="C865" t="s">
        <v>6596</v>
      </c>
      <c r="D865" t="s">
        <v>22</v>
      </c>
      <c r="E865" t="b">
        <v>0</v>
      </c>
      <c r="F865" t="s">
        <v>23</v>
      </c>
      <c r="G865" t="s">
        <v>6597</v>
      </c>
      <c r="H865" t="s">
        <v>634</v>
      </c>
      <c r="I865" t="s">
        <v>26</v>
      </c>
      <c r="J865" t="s">
        <v>27</v>
      </c>
      <c r="K865" t="s">
        <v>6598</v>
      </c>
      <c r="L865" t="s">
        <v>6599</v>
      </c>
      <c r="M865" t="s">
        <v>6600</v>
      </c>
      <c r="N865" t="s">
        <v>6601</v>
      </c>
      <c r="O865" t="s">
        <v>6602</v>
      </c>
      <c r="P865" t="s">
        <v>26</v>
      </c>
      <c r="Q865" t="s">
        <v>54</v>
      </c>
      <c r="R865" t="s">
        <v>6603</v>
      </c>
      <c r="S865" t="s">
        <v>6604</v>
      </c>
    </row>
    <row r="866" spans="1:19" x14ac:dyDescent="0.2">
      <c r="A866" t="s">
        <v>6605</v>
      </c>
      <c r="B866" t="s">
        <v>6605</v>
      </c>
      <c r="C866" t="s">
        <v>6606</v>
      </c>
      <c r="D866" t="s">
        <v>22</v>
      </c>
      <c r="E866" t="b">
        <v>0</v>
      </c>
      <c r="F866" t="s">
        <v>23</v>
      </c>
      <c r="G866" t="s">
        <v>6607</v>
      </c>
      <c r="H866" t="s">
        <v>6608</v>
      </c>
      <c r="I866" s="2" t="d">
        <v>2008-01-01</v>
      </c>
      <c r="J866" t="s">
        <v>27</v>
      </c>
      <c r="K866" t="s">
        <v>6609</v>
      </c>
      <c r="L866" t="s">
        <v>6610</v>
      </c>
      <c r="M866" t="s">
        <v>6611</v>
      </c>
      <c r="N866" t="s">
        <v>6612</v>
      </c>
      <c r="O866" t="s">
        <v>6613</v>
      </c>
      <c r="P866" t="s">
        <v>6614</v>
      </c>
      <c r="Q866" s="3" t="d">
        <v>2026-01-10</v>
      </c>
      <c r="R866" t="s">
        <v>41</v>
      </c>
      <c r="S866" t="s">
        <v>6615</v>
      </c>
    </row>
    <row r="867" spans="1:19" x14ac:dyDescent="0.2">
      <c r="A867" t="s">
        <v>6616</v>
      </c>
      <c r="B867" t="s">
        <v>6616</v>
      </c>
      <c r="C867" t="s">
        <v>6617</v>
      </c>
      <c r="D867" t="s">
        <v>22</v>
      </c>
      <c r="E867" t="b">
        <v>0</v>
      </c>
      <c r="F867" t="s">
        <v>23</v>
      </c>
      <c r="G867" t="s">
        <v>6618</v>
      </c>
      <c r="H867" t="s">
        <v>6619</v>
      </c>
      <c r="I867" s="2" t="d">
        <v>2017-01-01</v>
      </c>
      <c r="J867" t="s">
        <v>27</v>
      </c>
      <c r="K867" t="s">
        <v>6620</v>
      </c>
      <c r="L867" t="s">
        <v>6621</v>
      </c>
      <c r="M867" t="s">
        <v>26</v>
      </c>
      <c r="N867" t="s">
        <v>6622</v>
      </c>
      <c r="O867" t="s">
        <v>6623</v>
      </c>
      <c r="P867" t="s">
        <v>6624</v>
      </c>
      <c r="Q867" t="s">
        <v>54</v>
      </c>
      <c r="R867" t="s">
        <v>41</v>
      </c>
      <c r="S867" t="s">
        <v>6625</v>
      </c>
    </row>
    <row r="868" spans="1:19" x14ac:dyDescent="0.2">
      <c r="A868" t="s">
        <v>6626</v>
      </c>
      <c r="B868" t="s">
        <v>6627</v>
      </c>
      <c r="C868" t="s">
        <v>6628</v>
      </c>
      <c r="D868" t="s">
        <v>22</v>
      </c>
      <c r="E868" t="b">
        <v>0</v>
      </c>
      <c r="F868" t="s">
        <v>23</v>
      </c>
      <c r="G868" t="s">
        <v>6629</v>
      </c>
      <c r="H868" t="s">
        <v>339</v>
      </c>
      <c r="I868" s="2" t="d">
        <v>2017-01-01</v>
      </c>
      <c r="J868" t="s">
        <v>27</v>
      </c>
      <c r="K868" t="s">
        <v>6630</v>
      </c>
      <c r="L868" t="s">
        <v>6631</v>
      </c>
      <c r="M868" t="s">
        <v>6632</v>
      </c>
      <c r="N868" t="s">
        <v>6633</v>
      </c>
      <c r="O868" t="s">
        <v>6634</v>
      </c>
      <c r="P868" t="s">
        <v>26</v>
      </c>
      <c r="Q868" s="1" t="d">
        <v>1950-11-01</v>
      </c>
      <c r="R868" t="s">
        <v>41</v>
      </c>
      <c r="S868" t="s">
        <v>6635</v>
      </c>
    </row>
    <row r="869" spans="1:19" x14ac:dyDescent="0.2">
      <c r="A869" t="s">
        <v>6636</v>
      </c>
      <c r="B869" t="s">
        <v>6637</v>
      </c>
      <c r="C869" t="s">
        <v>6638</v>
      </c>
      <c r="D869" t="s">
        <v>22</v>
      </c>
      <c r="E869" t="b">
        <v>0</v>
      </c>
      <c r="F869" t="s">
        <v>23</v>
      </c>
      <c r="G869" t="s">
        <v>6639</v>
      </c>
      <c r="H869" t="s">
        <v>2097</v>
      </c>
      <c r="I869" s="2" t="d">
        <v>2022-06-01</v>
      </c>
      <c r="J869" t="s">
        <v>27</v>
      </c>
      <c r="K869" t="s">
        <v>6640</v>
      </c>
      <c r="L869" t="s">
        <v>6641</v>
      </c>
      <c r="M869" t="s">
        <v>6642</v>
      </c>
      <c r="N869" t="s">
        <v>6643</v>
      </c>
      <c r="O869" t="s">
        <v>6644</v>
      </c>
      <c r="P869" t="s">
        <v>26</v>
      </c>
      <c r="Q869" s="3" t="d">
        <v>2026-01-10</v>
      </c>
      <c r="R869" t="s">
        <v>41</v>
      </c>
      <c r="S869" t="s">
        <v>6645</v>
      </c>
    </row>
    <row r="870" spans="1:19" x14ac:dyDescent="0.2">
      <c r="A870" t="s">
        <v>6646</v>
      </c>
      <c r="B870" t="s">
        <v>6647</v>
      </c>
      <c r="C870" t="s">
        <v>6648</v>
      </c>
      <c r="D870" t="s">
        <v>22</v>
      </c>
      <c r="E870" t="b">
        <v>0</v>
      </c>
      <c r="F870" t="s">
        <v>23</v>
      </c>
      <c r="G870" t="s">
        <v>6649</v>
      </c>
      <c r="H870" t="s">
        <v>6650</v>
      </c>
      <c r="I870" t="s">
        <v>26</v>
      </c>
      <c r="J870" t="s">
        <v>27</v>
      </c>
      <c r="K870" t="s">
        <v>6651</v>
      </c>
      <c r="L870" t="s">
        <v>6647</v>
      </c>
      <c r="M870" t="s">
        <v>6652</v>
      </c>
      <c r="N870" t="s">
        <v>6653</v>
      </c>
      <c r="O870" t="s">
        <v>6654</v>
      </c>
      <c r="P870" t="s">
        <v>26</v>
      </c>
      <c r="Q870" t="s">
        <v>54</v>
      </c>
      <c r="R870" t="s">
        <v>41</v>
      </c>
      <c r="S870" t="s">
        <v>6655</v>
      </c>
    </row>
    <row r="871" spans="1:19" x14ac:dyDescent="0.2">
      <c r="A871" t="s">
        <v>6656</v>
      </c>
      <c r="B871" t="s">
        <v>26</v>
      </c>
      <c r="C871" t="s">
        <v>6657</v>
      </c>
      <c r="D871" t="s">
        <v>26</v>
      </c>
      <c r="E871" t="s">
        <v>26</v>
      </c>
      <c r="F871" t="s">
        <v>26</v>
      </c>
      <c r="G871" t="s">
        <v>6658</v>
      </c>
      <c r="H871" t="s">
        <v>26</v>
      </c>
      <c r="I871" t="s">
        <v>26</v>
      </c>
      <c r="J871" t="s">
        <v>26</v>
      </c>
      <c r="K871" t="s">
        <v>6659</v>
      </c>
      <c r="L871" t="s">
        <v>26</v>
      </c>
      <c r="M871" t="s">
        <v>26</v>
      </c>
      <c r="N871" t="s">
        <v>26</v>
      </c>
      <c r="O871" t="s">
        <v>26</v>
      </c>
      <c r="P871" t="s">
        <v>26</v>
      </c>
      <c r="Q871" t="s">
        <v>26</v>
      </c>
      <c r="R871" t="s">
        <v>6660</v>
      </c>
      <c r="S871" t="s">
        <v>6661</v>
      </c>
    </row>
    <row r="872" spans="1:19" x14ac:dyDescent="0.2">
      <c r="A872" t="s">
        <v>6662</v>
      </c>
      <c r="B872" t="s">
        <v>6663</v>
      </c>
      <c r="C872" t="s">
        <v>6664</v>
      </c>
      <c r="D872" t="s">
        <v>22</v>
      </c>
      <c r="E872" t="b">
        <v>0</v>
      </c>
      <c r="F872" t="s">
        <v>23</v>
      </c>
      <c r="G872" t="s">
        <v>6665</v>
      </c>
      <c r="H872" t="s">
        <v>1063</v>
      </c>
      <c r="I872" t="s">
        <v>26</v>
      </c>
      <c r="J872" t="s">
        <v>27</v>
      </c>
      <c r="K872" t="s">
        <v>6666</v>
      </c>
      <c r="L872" t="s">
        <v>6667</v>
      </c>
      <c r="M872" t="s">
        <v>26</v>
      </c>
      <c r="N872" t="s">
        <v>6668</v>
      </c>
      <c r="O872" t="s">
        <v>26</v>
      </c>
      <c r="P872" t="s">
        <v>6669</v>
      </c>
      <c r="Q872" s="1" t="d">
        <v>1950-11-01</v>
      </c>
      <c r="R872" t="s">
        <v>6670</v>
      </c>
      <c r="S872" t="s">
        <v>6671</v>
      </c>
    </row>
    <row r="873" spans="1:19" x14ac:dyDescent="0.2">
      <c r="A873" t="s">
        <v>6672</v>
      </c>
      <c r="B873" t="s">
        <v>6672</v>
      </c>
      <c r="C873" t="s">
        <v>6673</v>
      </c>
      <c r="D873" t="s">
        <v>22</v>
      </c>
      <c r="E873" t="b">
        <v>0</v>
      </c>
      <c r="F873" t="s">
        <v>23</v>
      </c>
      <c r="G873" t="s">
        <v>6674</v>
      </c>
      <c r="H873" t="s">
        <v>6675</v>
      </c>
      <c r="I873" t="s">
        <v>26</v>
      </c>
      <c r="J873" t="s">
        <v>27</v>
      </c>
      <c r="K873" t="s">
        <v>6676</v>
      </c>
      <c r="L873" t="s">
        <v>6672</v>
      </c>
      <c r="M873" t="s">
        <v>6677</v>
      </c>
      <c r="N873" t="s">
        <v>26</v>
      </c>
      <c r="O873" t="s">
        <v>6678</v>
      </c>
      <c r="P873" t="s">
        <v>26</v>
      </c>
      <c r="Q873" s="3" t="d">
        <v>2026-01-10</v>
      </c>
      <c r="R873" t="s">
        <v>3851</v>
      </c>
      <c r="S873" t="s">
        <v>6679</v>
      </c>
    </row>
    <row r="874" spans="1:19" x14ac:dyDescent="0.2">
      <c r="A874" t="s">
        <v>6680</v>
      </c>
      <c r="B874" t="s">
        <v>6681</v>
      </c>
      <c r="C874" t="s">
        <v>6682</v>
      </c>
      <c r="D874" t="s">
        <v>22</v>
      </c>
      <c r="E874" t="b">
        <v>0</v>
      </c>
      <c r="F874" t="s">
        <v>23</v>
      </c>
      <c r="G874" t="s">
        <v>6683</v>
      </c>
      <c r="H874" t="s">
        <v>5648</v>
      </c>
      <c r="I874" s="2" t="d">
        <v>2019-04-22</v>
      </c>
      <c r="J874" t="s">
        <v>27</v>
      </c>
      <c r="K874" t="s">
        <v>6684</v>
      </c>
      <c r="L874" t="s">
        <v>26</v>
      </c>
      <c r="M874" t="s">
        <v>6685</v>
      </c>
      <c r="N874" t="s">
        <v>26</v>
      </c>
      <c r="O874" t="s">
        <v>6686</v>
      </c>
      <c r="P874" t="s">
        <v>6687</v>
      </c>
      <c r="Q874" t="s">
        <v>40</v>
      </c>
      <c r="R874" t="s">
        <v>41</v>
      </c>
      <c r="S874" t="s">
        <v>6688</v>
      </c>
    </row>
    <row r="875" spans="1:19" x14ac:dyDescent="0.2">
      <c r="A875" t="s">
        <v>6689</v>
      </c>
      <c r="B875" t="s">
        <v>26</v>
      </c>
      <c r="C875" t="s">
        <v>6690</v>
      </c>
      <c r="D875" t="s">
        <v>26</v>
      </c>
      <c r="E875" t="s">
        <v>26</v>
      </c>
      <c r="F875" t="s">
        <v>26</v>
      </c>
      <c r="G875" t="s">
        <v>6691</v>
      </c>
      <c r="H875" t="s">
        <v>26</v>
      </c>
      <c r="I875" t="s">
        <v>26</v>
      </c>
      <c r="J875" t="s">
        <v>26</v>
      </c>
      <c r="K875" t="s">
        <v>6692</v>
      </c>
      <c r="L875" t="s">
        <v>6689</v>
      </c>
      <c r="M875" t="s">
        <v>26</v>
      </c>
      <c r="N875" t="s">
        <v>26</v>
      </c>
      <c r="O875" t="s">
        <v>26</v>
      </c>
      <c r="P875" t="s">
        <v>26</v>
      </c>
      <c r="Q875" t="s">
        <v>26</v>
      </c>
      <c r="R875" t="s">
        <v>3851</v>
      </c>
      <c r="S875" t="s">
        <v>6693</v>
      </c>
    </row>
    <row r="876" spans="1:19" x14ac:dyDescent="0.2">
      <c r="A876" t="s">
        <v>6694</v>
      </c>
      <c r="B876" t="s">
        <v>26</v>
      </c>
      <c r="C876" t="s">
        <v>6695</v>
      </c>
      <c r="D876" t="s">
        <v>26</v>
      </c>
      <c r="E876" t="s">
        <v>26</v>
      </c>
      <c r="F876" t="s">
        <v>26</v>
      </c>
      <c r="G876" t="s">
        <v>6696</v>
      </c>
      <c r="H876" t="s">
        <v>26</v>
      </c>
      <c r="I876" t="s">
        <v>26</v>
      </c>
      <c r="J876" t="s">
        <v>26</v>
      </c>
      <c r="K876" t="s">
        <v>6697</v>
      </c>
      <c r="L876" t="s">
        <v>6697</v>
      </c>
      <c r="M876" t="s">
        <v>6698</v>
      </c>
      <c r="N876" t="s">
        <v>26</v>
      </c>
      <c r="O876" t="s">
        <v>26</v>
      </c>
      <c r="P876" t="s">
        <v>26</v>
      </c>
      <c r="Q876" t="s">
        <v>26</v>
      </c>
      <c r="R876" t="s">
        <v>3851</v>
      </c>
      <c r="S876" t="s">
        <v>6699</v>
      </c>
    </row>
    <row r="877" spans="1:19" x14ac:dyDescent="0.2">
      <c r="A877" t="s">
        <v>6700</v>
      </c>
      <c r="B877" t="s">
        <v>6700</v>
      </c>
      <c r="C877" t="s">
        <v>6701</v>
      </c>
      <c r="D877" t="s">
        <v>22</v>
      </c>
      <c r="E877" t="b">
        <v>0</v>
      </c>
      <c r="F877" t="s">
        <v>23</v>
      </c>
      <c r="G877" t="s">
        <v>6702</v>
      </c>
      <c r="H877" t="s">
        <v>6703</v>
      </c>
      <c r="I877" t="s">
        <v>26</v>
      </c>
      <c r="J877" t="s">
        <v>27</v>
      </c>
      <c r="K877" t="s">
        <v>6704</v>
      </c>
      <c r="L877" t="s">
        <v>6700</v>
      </c>
      <c r="M877" t="s">
        <v>26</v>
      </c>
      <c r="N877" t="s">
        <v>26</v>
      </c>
      <c r="O877" t="s">
        <v>6705</v>
      </c>
      <c r="P877" t="s">
        <v>26</v>
      </c>
      <c r="Q877" s="1" t="d">
        <v>1950-11-01</v>
      </c>
      <c r="R877" t="s">
        <v>3851</v>
      </c>
      <c r="S877" t="s">
        <v>6706</v>
      </c>
    </row>
    <row r="878" spans="1:19" x14ac:dyDescent="0.2">
      <c r="A878" t="s">
        <v>6707</v>
      </c>
      <c r="B878" t="s">
        <v>6707</v>
      </c>
      <c r="C878" t="s">
        <v>6708</v>
      </c>
      <c r="D878" t="s">
        <v>22</v>
      </c>
      <c r="E878" t="b">
        <v>0</v>
      </c>
      <c r="F878" t="s">
        <v>23</v>
      </c>
      <c r="G878" t="s">
        <v>6709</v>
      </c>
      <c r="H878" t="s">
        <v>146</v>
      </c>
      <c r="I878" t="s">
        <v>26</v>
      </c>
      <c r="J878" t="s">
        <v>27</v>
      </c>
      <c r="K878" t="s">
        <v>6710</v>
      </c>
      <c r="L878" t="s">
        <v>6711</v>
      </c>
      <c r="M878" t="s">
        <v>6712</v>
      </c>
      <c r="N878" t="s">
        <v>26</v>
      </c>
      <c r="O878" t="s">
        <v>6713</v>
      </c>
      <c r="P878" t="s">
        <v>26</v>
      </c>
      <c r="Q878" s="3" t="d">
        <v>2026-01-10</v>
      </c>
      <c r="R878" t="s">
        <v>6714</v>
      </c>
      <c r="S878" t="s">
        <v>6715</v>
      </c>
    </row>
    <row r="879" spans="1:19" x14ac:dyDescent="0.2">
      <c r="A879" t="s">
        <v>6716</v>
      </c>
      <c r="B879" t="s">
        <v>6716</v>
      </c>
      <c r="C879" t="s">
        <v>6717</v>
      </c>
      <c r="D879" t="s">
        <v>22</v>
      </c>
      <c r="E879" t="b">
        <v>1</v>
      </c>
      <c r="F879" t="s">
        <v>23</v>
      </c>
      <c r="G879" t="s">
        <v>6718</v>
      </c>
      <c r="H879" t="s">
        <v>2648</v>
      </c>
      <c r="I879" s="2" t="d">
        <v>2016-06-01</v>
      </c>
      <c r="J879" t="s">
        <v>27</v>
      </c>
      <c r="K879" t="s">
        <v>6719</v>
      </c>
      <c r="L879" t="s">
        <v>6716</v>
      </c>
      <c r="M879" t="s">
        <v>6720</v>
      </c>
      <c r="N879" t="s">
        <v>6721</v>
      </c>
      <c r="O879" t="s">
        <v>6722</v>
      </c>
      <c r="P879" t="s">
        <v>6723</v>
      </c>
      <c r="Q879" t="s">
        <v>54</v>
      </c>
      <c r="R879" t="s">
        <v>41</v>
      </c>
      <c r="S879" t="s">
        <v>6724</v>
      </c>
    </row>
    <row r="880" spans="1:19" x14ac:dyDescent="0.2">
      <c r="A880" t="s">
        <v>6725</v>
      </c>
      <c r="B880" t="s">
        <v>26</v>
      </c>
      <c r="C880" t="s">
        <v>6726</v>
      </c>
      <c r="D880" t="s">
        <v>26</v>
      </c>
      <c r="E880" t="s">
        <v>26</v>
      </c>
      <c r="F880" t="s">
        <v>26</v>
      </c>
      <c r="G880" t="s">
        <v>6727</v>
      </c>
      <c r="H880" t="s">
        <v>26</v>
      </c>
      <c r="I880" t="s">
        <v>26</v>
      </c>
      <c r="J880" t="s">
        <v>26</v>
      </c>
      <c r="K880" t="s">
        <v>6728</v>
      </c>
      <c r="L880" t="s">
        <v>6729</v>
      </c>
      <c r="M880" t="s">
        <v>26</v>
      </c>
      <c r="N880" t="s">
        <v>26</v>
      </c>
      <c r="O880" t="s">
        <v>26</v>
      </c>
      <c r="P880" t="s">
        <v>26</v>
      </c>
      <c r="Q880" t="s">
        <v>26</v>
      </c>
      <c r="R880" t="s">
        <v>4206</v>
      </c>
      <c r="S880" t="s">
        <v>6730</v>
      </c>
    </row>
    <row r="881" spans="1:19" x14ac:dyDescent="0.2">
      <c r="A881" t="s">
        <v>6731</v>
      </c>
      <c r="B881" t="s">
        <v>26</v>
      </c>
      <c r="C881" t="s">
        <v>6732</v>
      </c>
      <c r="D881" t="s">
        <v>26</v>
      </c>
      <c r="E881" t="s">
        <v>26</v>
      </c>
      <c r="F881" t="s">
        <v>26</v>
      </c>
      <c r="G881" t="s">
        <v>6733</v>
      </c>
      <c r="H881" t="s">
        <v>26</v>
      </c>
      <c r="I881" t="s">
        <v>26</v>
      </c>
      <c r="J881" t="s">
        <v>26</v>
      </c>
      <c r="K881" t="s">
        <v>26</v>
      </c>
      <c r="L881" t="s">
        <v>6731</v>
      </c>
      <c r="M881" t="s">
        <v>26</v>
      </c>
      <c r="N881" t="s">
        <v>26</v>
      </c>
      <c r="O881" t="s">
        <v>26</v>
      </c>
      <c r="P881" t="s">
        <v>26</v>
      </c>
      <c r="Q881" t="s">
        <v>26</v>
      </c>
      <c r="R881" t="s">
        <v>3844</v>
      </c>
      <c r="S881" t="s">
        <v>6734</v>
      </c>
    </row>
    <row r="882" spans="1:19" x14ac:dyDescent="0.2">
      <c r="A882" t="s">
        <v>6735</v>
      </c>
      <c r="B882" t="s">
        <v>26</v>
      </c>
      <c r="C882" t="s">
        <v>6736</v>
      </c>
      <c r="D882" t="s">
        <v>26</v>
      </c>
      <c r="E882" t="s">
        <v>26</v>
      </c>
      <c r="F882" t="s">
        <v>26</v>
      </c>
      <c r="G882" t="s">
        <v>6737</v>
      </c>
      <c r="H882" t="s">
        <v>26</v>
      </c>
      <c r="I882" t="s">
        <v>26</v>
      </c>
      <c r="J882" t="s">
        <v>26</v>
      </c>
      <c r="K882" t="s">
        <v>6738</v>
      </c>
      <c r="L882" t="s">
        <v>6739</v>
      </c>
      <c r="M882" t="s">
        <v>6740</v>
      </c>
      <c r="N882" t="s">
        <v>26</v>
      </c>
      <c r="O882" t="s">
        <v>26</v>
      </c>
      <c r="P882" t="s">
        <v>26</v>
      </c>
      <c r="Q882" t="s">
        <v>26</v>
      </c>
      <c r="R882" t="s">
        <v>3844</v>
      </c>
      <c r="S882" t="s">
        <v>6741</v>
      </c>
    </row>
    <row r="883" spans="1:19" x14ac:dyDescent="0.2">
      <c r="A883" t="s">
        <v>6742</v>
      </c>
      <c r="B883" t="s">
        <v>26</v>
      </c>
      <c r="C883" t="s">
        <v>6743</v>
      </c>
      <c r="D883" t="s">
        <v>26</v>
      </c>
      <c r="E883" t="s">
        <v>26</v>
      </c>
      <c r="F883" t="s">
        <v>26</v>
      </c>
      <c r="G883" t="s">
        <v>6744</v>
      </c>
      <c r="H883" t="s">
        <v>26</v>
      </c>
      <c r="I883" t="s">
        <v>26</v>
      </c>
      <c r="J883" t="s">
        <v>26</v>
      </c>
      <c r="K883" t="s">
        <v>6745</v>
      </c>
      <c r="L883" t="s">
        <v>6746</v>
      </c>
      <c r="M883" t="s">
        <v>6747</v>
      </c>
      <c r="N883" t="s">
        <v>26</v>
      </c>
      <c r="O883" t="s">
        <v>26</v>
      </c>
      <c r="P883" t="s">
        <v>26</v>
      </c>
      <c r="Q883" t="s">
        <v>26</v>
      </c>
      <c r="R883" t="s">
        <v>3844</v>
      </c>
      <c r="S883" t="s">
        <v>6748</v>
      </c>
    </row>
    <row r="884" spans="1:19" x14ac:dyDescent="0.2">
      <c r="A884" t="s">
        <v>6749</v>
      </c>
      <c r="B884" t="s">
        <v>6749</v>
      </c>
      <c r="C884" t="s">
        <v>6750</v>
      </c>
      <c r="D884" t="s">
        <v>22</v>
      </c>
      <c r="E884" t="b">
        <v>0</v>
      </c>
      <c r="F884" t="s">
        <v>23</v>
      </c>
      <c r="G884" t="s">
        <v>6751</v>
      </c>
      <c r="H884" t="s">
        <v>188</v>
      </c>
      <c r="I884" t="s">
        <v>26</v>
      </c>
      <c r="J884" t="s">
        <v>27</v>
      </c>
      <c r="K884" t="s">
        <v>6752</v>
      </c>
      <c r="L884" t="s">
        <v>6753</v>
      </c>
      <c r="M884" t="s">
        <v>26</v>
      </c>
      <c r="N884" t="s">
        <v>26</v>
      </c>
      <c r="O884" t="s">
        <v>26</v>
      </c>
      <c r="P884" t="s">
        <v>26</v>
      </c>
      <c r="Q884" s="3" t="d">
        <v>2026-01-10</v>
      </c>
      <c r="R884" t="s">
        <v>3844</v>
      </c>
      <c r="S884" t="s">
        <v>6754</v>
      </c>
    </row>
    <row r="885" spans="1:19" x14ac:dyDescent="0.2">
      <c r="A885" t="s">
        <v>6755</v>
      </c>
      <c r="B885" t="s">
        <v>26</v>
      </c>
      <c r="C885" t="s">
        <v>6756</v>
      </c>
      <c r="D885" t="s">
        <v>26</v>
      </c>
      <c r="E885" t="s">
        <v>26</v>
      </c>
      <c r="F885" t="s">
        <v>26</v>
      </c>
      <c r="G885" t="s">
        <v>6757</v>
      </c>
      <c r="H885" t="s">
        <v>26</v>
      </c>
      <c r="I885" t="s">
        <v>26</v>
      </c>
      <c r="J885" t="s">
        <v>26</v>
      </c>
      <c r="K885" t="s">
        <v>6758</v>
      </c>
      <c r="L885" t="s">
        <v>26</v>
      </c>
      <c r="M885" t="s">
        <v>26</v>
      </c>
      <c r="N885" t="s">
        <v>26</v>
      </c>
      <c r="O885" t="s">
        <v>26</v>
      </c>
      <c r="P885" t="s">
        <v>26</v>
      </c>
      <c r="Q885" t="s">
        <v>26</v>
      </c>
      <c r="R885" t="s">
        <v>6759</v>
      </c>
      <c r="S885" t="s">
        <v>6760</v>
      </c>
    </row>
    <row r="886" spans="1:19" x14ac:dyDescent="0.2">
      <c r="A886" t="s">
        <v>6761</v>
      </c>
      <c r="B886" t="s">
        <v>26</v>
      </c>
      <c r="C886" t="s">
        <v>6762</v>
      </c>
      <c r="D886" t="s">
        <v>26</v>
      </c>
      <c r="E886" t="s">
        <v>26</v>
      </c>
      <c r="F886" t="s">
        <v>26</v>
      </c>
      <c r="G886" t="s">
        <v>6763</v>
      </c>
      <c r="H886" t="s">
        <v>26</v>
      </c>
      <c r="I886" t="s">
        <v>26</v>
      </c>
      <c r="J886" t="s">
        <v>26</v>
      </c>
      <c r="K886" t="s">
        <v>6764</v>
      </c>
      <c r="L886" t="s">
        <v>6765</v>
      </c>
      <c r="M886" t="s">
        <v>26</v>
      </c>
      <c r="N886" t="s">
        <v>26</v>
      </c>
      <c r="O886" t="s">
        <v>26</v>
      </c>
      <c r="P886" t="s">
        <v>26</v>
      </c>
      <c r="Q886" t="s">
        <v>26</v>
      </c>
      <c r="R886" t="s">
        <v>6766</v>
      </c>
      <c r="S886" t="s">
        <v>6767</v>
      </c>
    </row>
    <row r="887" spans="1:19" x14ac:dyDescent="0.2">
      <c r="A887" t="s">
        <v>6768</v>
      </c>
      <c r="B887" t="s">
        <v>6768</v>
      </c>
      <c r="C887" t="s">
        <v>6769</v>
      </c>
      <c r="D887" t="s">
        <v>22</v>
      </c>
      <c r="E887" t="b">
        <v>0</v>
      </c>
      <c r="F887" t="s">
        <v>26</v>
      </c>
      <c r="G887" t="s">
        <v>6770</v>
      </c>
      <c r="H887" t="s">
        <v>6771</v>
      </c>
      <c r="I887" t="s">
        <v>26</v>
      </c>
      <c r="J887" t="s">
        <v>27</v>
      </c>
      <c r="K887" t="s">
        <v>6772</v>
      </c>
      <c r="L887" t="s">
        <v>6773</v>
      </c>
      <c r="M887" t="s">
        <v>6774</v>
      </c>
      <c r="N887" t="s">
        <v>26</v>
      </c>
      <c r="O887" t="s">
        <v>6775</v>
      </c>
      <c r="P887" t="s">
        <v>6776</v>
      </c>
      <c r="Q887" s="3" t="d">
        <v>2026-01-10</v>
      </c>
      <c r="R887" t="s">
        <v>1263</v>
      </c>
      <c r="S887" t="s">
        <v>6777</v>
      </c>
    </row>
    <row r="888" spans="1:19" x14ac:dyDescent="0.2">
      <c r="A888" t="s">
        <v>6778</v>
      </c>
      <c r="B888" t="s">
        <v>6779</v>
      </c>
      <c r="C888" t="s">
        <v>6780</v>
      </c>
      <c r="D888" t="s">
        <v>22</v>
      </c>
      <c r="E888" t="b">
        <v>0</v>
      </c>
      <c r="F888" t="s">
        <v>23</v>
      </c>
      <c r="G888" t="s">
        <v>6781</v>
      </c>
      <c r="H888" t="s">
        <v>737</v>
      </c>
      <c r="I888" s="2" t="d">
        <v>2012-01-01</v>
      </c>
      <c r="J888" t="s">
        <v>27</v>
      </c>
      <c r="K888" t="s">
        <v>6782</v>
      </c>
      <c r="L888" t="s">
        <v>6783</v>
      </c>
      <c r="M888" t="s">
        <v>6784</v>
      </c>
      <c r="N888" t="s">
        <v>26</v>
      </c>
      <c r="O888" t="s">
        <v>6785</v>
      </c>
      <c r="P888">
        <v>551127621470</v>
      </c>
      <c r="Q888" t="s">
        <v>54</v>
      </c>
      <c r="R888" t="s">
        <v>41</v>
      </c>
      <c r="S888" t="s">
        <v>6786</v>
      </c>
    </row>
    <row r="889" spans="1:19" x14ac:dyDescent="0.2">
      <c r="A889" t="s">
        <v>6787</v>
      </c>
      <c r="B889" t="s">
        <v>26</v>
      </c>
      <c r="C889" t="s">
        <v>6788</v>
      </c>
      <c r="D889" t="s">
        <v>26</v>
      </c>
      <c r="E889" t="s">
        <v>26</v>
      </c>
      <c r="F889" t="s">
        <v>26</v>
      </c>
      <c r="G889" t="s">
        <v>6789</v>
      </c>
      <c r="H889" t="s">
        <v>26</v>
      </c>
      <c r="I889" t="s">
        <v>26</v>
      </c>
      <c r="J889" t="s">
        <v>26</v>
      </c>
      <c r="K889" t="s">
        <v>6790</v>
      </c>
      <c r="L889" t="s">
        <v>26</v>
      </c>
      <c r="M889" t="s">
        <v>26</v>
      </c>
      <c r="N889" t="s">
        <v>26</v>
      </c>
      <c r="O889" t="s">
        <v>26</v>
      </c>
      <c r="P889" t="s">
        <v>26</v>
      </c>
      <c r="Q889" t="s">
        <v>26</v>
      </c>
      <c r="R889" t="s">
        <v>6791</v>
      </c>
      <c r="S889" t="s">
        <v>6792</v>
      </c>
    </row>
    <row r="890" spans="1:19" x14ac:dyDescent="0.2">
      <c r="A890" t="s">
        <v>6793</v>
      </c>
      <c r="B890" t="s">
        <v>6793</v>
      </c>
      <c r="C890" t="s">
        <v>6794</v>
      </c>
      <c r="D890" t="s">
        <v>22</v>
      </c>
      <c r="E890" t="b">
        <v>0</v>
      </c>
      <c r="F890" t="s">
        <v>23</v>
      </c>
      <c r="G890" t="s">
        <v>6795</v>
      </c>
      <c r="H890" t="s">
        <v>1073</v>
      </c>
      <c r="I890" t="s">
        <v>26</v>
      </c>
      <c r="J890" t="s">
        <v>27</v>
      </c>
      <c r="K890" t="s">
        <v>6796</v>
      </c>
      <c r="L890" t="s">
        <v>6797</v>
      </c>
      <c r="M890" t="s">
        <v>6798</v>
      </c>
      <c r="N890" t="s">
        <v>6799</v>
      </c>
      <c r="O890" t="s">
        <v>6800</v>
      </c>
      <c r="P890" t="s">
        <v>26</v>
      </c>
      <c r="Q890" s="1" t="d">
        <v>1950-11-01</v>
      </c>
      <c r="R890" t="s">
        <v>6791</v>
      </c>
      <c r="S890" t="s">
        <v>6801</v>
      </c>
    </row>
    <row r="891" spans="1:19" x14ac:dyDescent="0.2">
      <c r="A891" t="s">
        <v>6802</v>
      </c>
      <c r="B891" t="s">
        <v>6802</v>
      </c>
      <c r="C891" t="s">
        <v>6803</v>
      </c>
      <c r="D891" t="s">
        <v>22</v>
      </c>
      <c r="E891" t="b">
        <v>0</v>
      </c>
      <c r="F891" t="s">
        <v>23</v>
      </c>
      <c r="G891" t="s">
        <v>6804</v>
      </c>
      <c r="H891" t="s">
        <v>5543</v>
      </c>
      <c r="I891" t="s">
        <v>26</v>
      </c>
      <c r="J891" t="s">
        <v>27</v>
      </c>
      <c r="K891" t="s">
        <v>6805</v>
      </c>
      <c r="L891" t="s">
        <v>6806</v>
      </c>
      <c r="M891" t="s">
        <v>6807</v>
      </c>
      <c r="N891" t="s">
        <v>26</v>
      </c>
      <c r="O891" t="s">
        <v>6808</v>
      </c>
      <c r="P891" t="s">
        <v>26</v>
      </c>
      <c r="Q891" s="3" t="d">
        <v>2026-01-10</v>
      </c>
      <c r="R891" t="s">
        <v>638</v>
      </c>
      <c r="S891" t="s">
        <v>6809</v>
      </c>
    </row>
    <row r="892" spans="1:19" x14ac:dyDescent="0.2">
      <c r="A892" t="s">
        <v>6810</v>
      </c>
      <c r="B892" t="s">
        <v>6811</v>
      </c>
      <c r="C892" t="s">
        <v>6812</v>
      </c>
      <c r="D892" t="s">
        <v>22</v>
      </c>
      <c r="E892" t="b">
        <v>0</v>
      </c>
      <c r="F892" t="s">
        <v>23</v>
      </c>
      <c r="G892" t="s">
        <v>6813</v>
      </c>
      <c r="H892" t="s">
        <v>2755</v>
      </c>
      <c r="I892" t="s">
        <v>26</v>
      </c>
      <c r="J892" t="s">
        <v>27</v>
      </c>
      <c r="K892" t="s">
        <v>6814</v>
      </c>
      <c r="L892" t="s">
        <v>6815</v>
      </c>
      <c r="M892" t="s">
        <v>6816</v>
      </c>
      <c r="N892" t="s">
        <v>6817</v>
      </c>
      <c r="O892" t="s">
        <v>6818</v>
      </c>
      <c r="P892" t="s">
        <v>26</v>
      </c>
      <c r="Q892" s="3" t="d">
        <v>2026-01-10</v>
      </c>
      <c r="R892" t="s">
        <v>2562</v>
      </c>
      <c r="S892" t="s">
        <v>6819</v>
      </c>
    </row>
    <row r="893" spans="1:19" x14ac:dyDescent="0.2">
      <c r="A893" t="s">
        <v>6820</v>
      </c>
      <c r="B893" t="s">
        <v>26</v>
      </c>
      <c r="C893" t="s">
        <v>6821</v>
      </c>
      <c r="D893" t="s">
        <v>26</v>
      </c>
      <c r="E893" t="s">
        <v>26</v>
      </c>
      <c r="F893" t="s">
        <v>26</v>
      </c>
      <c r="G893" t="s">
        <v>6822</v>
      </c>
      <c r="H893" t="s">
        <v>26</v>
      </c>
      <c r="I893" t="s">
        <v>26</v>
      </c>
      <c r="J893" t="s">
        <v>26</v>
      </c>
      <c r="K893" t="s">
        <v>6823</v>
      </c>
      <c r="L893" t="s">
        <v>6824</v>
      </c>
      <c r="M893" t="s">
        <v>26</v>
      </c>
      <c r="N893" t="s">
        <v>26</v>
      </c>
      <c r="O893" t="s">
        <v>26</v>
      </c>
      <c r="P893" t="s">
        <v>26</v>
      </c>
      <c r="Q893" t="s">
        <v>26</v>
      </c>
      <c r="R893" t="s">
        <v>2562</v>
      </c>
      <c r="S893" t="s">
        <v>6825</v>
      </c>
    </row>
    <row r="894" spans="1:19" x14ac:dyDescent="0.2">
      <c r="A894" t="s">
        <v>6826</v>
      </c>
      <c r="B894" t="s">
        <v>6826</v>
      </c>
      <c r="C894" t="s">
        <v>6827</v>
      </c>
      <c r="D894" t="s">
        <v>22</v>
      </c>
      <c r="E894" t="b">
        <v>0</v>
      </c>
      <c r="F894" t="s">
        <v>23</v>
      </c>
      <c r="G894" t="s">
        <v>6828</v>
      </c>
      <c r="H894" t="s">
        <v>4423</v>
      </c>
      <c r="I894" t="s">
        <v>26</v>
      </c>
      <c r="J894" t="s">
        <v>27</v>
      </c>
      <c r="K894" t="s">
        <v>6829</v>
      </c>
      <c r="L894" t="s">
        <v>6826</v>
      </c>
      <c r="M894" t="s">
        <v>26</v>
      </c>
      <c r="N894" t="s">
        <v>26</v>
      </c>
      <c r="O894" t="s">
        <v>6830</v>
      </c>
      <c r="P894" t="s">
        <v>6831</v>
      </c>
      <c r="Q894" s="3" t="d">
        <v>2026-01-10</v>
      </c>
      <c r="R894" t="s">
        <v>6832</v>
      </c>
      <c r="S894" t="s">
        <v>6833</v>
      </c>
    </row>
    <row r="895" spans="1:19" x14ac:dyDescent="0.2">
      <c r="A895" t="s">
        <v>6834</v>
      </c>
      <c r="B895" t="s">
        <v>26</v>
      </c>
      <c r="C895" t="s">
        <v>6835</v>
      </c>
      <c r="D895" t="s">
        <v>26</v>
      </c>
      <c r="E895" t="s">
        <v>26</v>
      </c>
      <c r="F895" t="s">
        <v>26</v>
      </c>
      <c r="G895" t="s">
        <v>6836</v>
      </c>
      <c r="H895" t="s">
        <v>26</v>
      </c>
      <c r="I895" t="s">
        <v>26</v>
      </c>
      <c r="J895" t="s">
        <v>26</v>
      </c>
      <c r="K895" t="s">
        <v>6837</v>
      </c>
      <c r="L895" t="s">
        <v>6838</v>
      </c>
      <c r="M895" t="s">
        <v>26</v>
      </c>
      <c r="N895" t="s">
        <v>26</v>
      </c>
      <c r="O895" t="s">
        <v>26</v>
      </c>
      <c r="P895" t="s">
        <v>26</v>
      </c>
      <c r="Q895" t="s">
        <v>26</v>
      </c>
      <c r="R895" t="s">
        <v>2562</v>
      </c>
      <c r="S895" t="s">
        <v>6839</v>
      </c>
    </row>
    <row r="896" spans="1:19" x14ac:dyDescent="0.2">
      <c r="A896" t="s">
        <v>6840</v>
      </c>
      <c r="B896" t="s">
        <v>26</v>
      </c>
      <c r="C896" t="s">
        <v>6841</v>
      </c>
      <c r="D896" t="s">
        <v>26</v>
      </c>
      <c r="E896" t="s">
        <v>26</v>
      </c>
      <c r="F896" t="s">
        <v>26</v>
      </c>
      <c r="G896" t="s">
        <v>6842</v>
      </c>
      <c r="H896" t="s">
        <v>26</v>
      </c>
      <c r="I896" t="s">
        <v>26</v>
      </c>
      <c r="J896" t="s">
        <v>26</v>
      </c>
      <c r="K896" t="s">
        <v>6843</v>
      </c>
      <c r="L896" t="s">
        <v>6844</v>
      </c>
      <c r="M896" t="s">
        <v>6845</v>
      </c>
      <c r="N896" t="s">
        <v>26</v>
      </c>
      <c r="O896" t="s">
        <v>26</v>
      </c>
      <c r="P896" t="s">
        <v>26</v>
      </c>
      <c r="Q896" t="s">
        <v>26</v>
      </c>
      <c r="R896" t="s">
        <v>2562</v>
      </c>
      <c r="S896" t="s">
        <v>6846</v>
      </c>
    </row>
    <row r="897" spans="1:19" x14ac:dyDescent="0.2">
      <c r="A897" t="s">
        <v>6847</v>
      </c>
      <c r="B897" t="s">
        <v>26</v>
      </c>
      <c r="C897" t="s">
        <v>6848</v>
      </c>
      <c r="D897" t="s">
        <v>26</v>
      </c>
      <c r="E897" t="s">
        <v>26</v>
      </c>
      <c r="F897" t="s">
        <v>26</v>
      </c>
      <c r="G897" t="s">
        <v>6849</v>
      </c>
      <c r="H897" t="s">
        <v>26</v>
      </c>
      <c r="I897" t="s">
        <v>26</v>
      </c>
      <c r="J897" t="s">
        <v>26</v>
      </c>
      <c r="K897" t="s">
        <v>6850</v>
      </c>
      <c r="L897" t="s">
        <v>6851</v>
      </c>
      <c r="M897" t="s">
        <v>26</v>
      </c>
      <c r="N897" t="s">
        <v>26</v>
      </c>
      <c r="O897" t="s">
        <v>26</v>
      </c>
      <c r="P897" t="s">
        <v>26</v>
      </c>
      <c r="Q897" t="s">
        <v>26</v>
      </c>
      <c r="R897" t="s">
        <v>2562</v>
      </c>
      <c r="S897" t="s">
        <v>6852</v>
      </c>
    </row>
    <row r="898" spans="1:19" x14ac:dyDescent="0.2">
      <c r="A898" t="s">
        <v>6853</v>
      </c>
      <c r="B898" t="s">
        <v>26</v>
      </c>
      <c r="C898" t="s">
        <v>6854</v>
      </c>
      <c r="D898" t="s">
        <v>26</v>
      </c>
      <c r="E898" t="s">
        <v>26</v>
      </c>
      <c r="F898" t="s">
        <v>26</v>
      </c>
      <c r="G898" t="s">
        <v>6855</v>
      </c>
      <c r="H898" t="s">
        <v>26</v>
      </c>
      <c r="I898" t="s">
        <v>26</v>
      </c>
      <c r="J898" t="s">
        <v>26</v>
      </c>
      <c r="K898" t="s">
        <v>6856</v>
      </c>
      <c r="L898" t="s">
        <v>26</v>
      </c>
      <c r="M898" t="s">
        <v>6857</v>
      </c>
      <c r="N898" t="s">
        <v>26</v>
      </c>
      <c r="O898" t="s">
        <v>26</v>
      </c>
      <c r="P898" t="s">
        <v>26</v>
      </c>
      <c r="Q898" t="s">
        <v>26</v>
      </c>
      <c r="R898" t="s">
        <v>2562</v>
      </c>
      <c r="S898" t="s">
        <v>6858</v>
      </c>
    </row>
    <row r="899" spans="1:19" x14ac:dyDescent="0.2">
      <c r="A899" t="s">
        <v>6859</v>
      </c>
      <c r="B899" t="s">
        <v>26</v>
      </c>
      <c r="C899" t="s">
        <v>6860</v>
      </c>
      <c r="D899" t="s">
        <v>26</v>
      </c>
      <c r="E899" t="s">
        <v>26</v>
      </c>
      <c r="F899" t="s">
        <v>26</v>
      </c>
      <c r="G899" t="s">
        <v>6861</v>
      </c>
      <c r="H899" t="s">
        <v>26</v>
      </c>
      <c r="I899" t="s">
        <v>26</v>
      </c>
      <c r="J899" t="s">
        <v>26</v>
      </c>
      <c r="K899" t="s">
        <v>6862</v>
      </c>
      <c r="L899" t="s">
        <v>26</v>
      </c>
      <c r="M899" t="s">
        <v>26</v>
      </c>
      <c r="N899" t="s">
        <v>26</v>
      </c>
      <c r="O899" t="s">
        <v>26</v>
      </c>
      <c r="P899" t="s">
        <v>26</v>
      </c>
      <c r="Q899" t="s">
        <v>26</v>
      </c>
      <c r="R899" t="s">
        <v>2562</v>
      </c>
      <c r="S899" t="s">
        <v>6863</v>
      </c>
    </row>
    <row r="900" spans="1:19" x14ac:dyDescent="0.2">
      <c r="A900" t="s">
        <v>6864</v>
      </c>
      <c r="B900" t="s">
        <v>26</v>
      </c>
      <c r="C900" t="s">
        <v>6865</v>
      </c>
      <c r="D900" t="s">
        <v>26</v>
      </c>
      <c r="E900" t="s">
        <v>26</v>
      </c>
      <c r="F900" t="s">
        <v>26</v>
      </c>
      <c r="G900" t="s">
        <v>6866</v>
      </c>
      <c r="H900" t="s">
        <v>26</v>
      </c>
      <c r="I900" t="s">
        <v>26</v>
      </c>
      <c r="J900" t="s">
        <v>26</v>
      </c>
      <c r="K900" t="s">
        <v>6867</v>
      </c>
      <c r="L900" t="s">
        <v>6864</v>
      </c>
      <c r="M900" t="s">
        <v>6868</v>
      </c>
      <c r="N900" t="s">
        <v>26</v>
      </c>
      <c r="O900" t="s">
        <v>26</v>
      </c>
      <c r="P900" t="s">
        <v>26</v>
      </c>
      <c r="Q900" t="s">
        <v>26</v>
      </c>
      <c r="R900" t="s">
        <v>2562</v>
      </c>
      <c r="S900" t="s">
        <v>6869</v>
      </c>
    </row>
    <row r="901" spans="1:19" x14ac:dyDescent="0.2">
      <c r="A901" t="s">
        <v>6870</v>
      </c>
      <c r="B901" t="s">
        <v>26</v>
      </c>
      <c r="C901" t="s">
        <v>6871</v>
      </c>
      <c r="D901" t="s">
        <v>26</v>
      </c>
      <c r="E901" t="s">
        <v>26</v>
      </c>
      <c r="F901" t="s">
        <v>26</v>
      </c>
      <c r="G901" t="s">
        <v>6872</v>
      </c>
      <c r="H901" t="s">
        <v>26</v>
      </c>
      <c r="I901" t="s">
        <v>26</v>
      </c>
      <c r="J901" t="s">
        <v>26</v>
      </c>
      <c r="K901" t="s">
        <v>6873</v>
      </c>
      <c r="L901" t="s">
        <v>6874</v>
      </c>
      <c r="M901" t="s">
        <v>26</v>
      </c>
      <c r="N901" t="s">
        <v>26</v>
      </c>
      <c r="O901" t="s">
        <v>26</v>
      </c>
      <c r="P901" t="s">
        <v>26</v>
      </c>
      <c r="Q901" t="s">
        <v>26</v>
      </c>
      <c r="R901" t="s">
        <v>2562</v>
      </c>
      <c r="S901" t="s">
        <v>6875</v>
      </c>
    </row>
    <row r="902" spans="1:19" x14ac:dyDescent="0.2">
      <c r="A902" t="s">
        <v>6876</v>
      </c>
      <c r="B902" t="s">
        <v>26</v>
      </c>
      <c r="C902" t="s">
        <v>6877</v>
      </c>
      <c r="D902" t="s">
        <v>26</v>
      </c>
      <c r="E902" t="s">
        <v>26</v>
      </c>
      <c r="F902" t="s">
        <v>26</v>
      </c>
      <c r="G902" t="s">
        <v>6878</v>
      </c>
      <c r="H902" t="s">
        <v>26</v>
      </c>
      <c r="I902" t="s">
        <v>26</v>
      </c>
      <c r="J902" t="s">
        <v>26</v>
      </c>
      <c r="K902" t="s">
        <v>6879</v>
      </c>
      <c r="L902" t="s">
        <v>26</v>
      </c>
      <c r="M902" t="s">
        <v>26</v>
      </c>
      <c r="N902" t="s">
        <v>26</v>
      </c>
      <c r="O902" t="s">
        <v>26</v>
      </c>
      <c r="P902" t="s">
        <v>26</v>
      </c>
      <c r="Q902" t="s">
        <v>26</v>
      </c>
      <c r="R902" t="s">
        <v>2562</v>
      </c>
      <c r="S902" t="s">
        <v>6880</v>
      </c>
    </row>
    <row r="903" spans="1:19" x14ac:dyDescent="0.2">
      <c r="A903" t="s">
        <v>6881</v>
      </c>
      <c r="B903" t="s">
        <v>26</v>
      </c>
      <c r="C903" t="s">
        <v>6882</v>
      </c>
      <c r="D903" t="s">
        <v>26</v>
      </c>
      <c r="E903" t="s">
        <v>26</v>
      </c>
      <c r="F903" t="s">
        <v>26</v>
      </c>
      <c r="G903" t="s">
        <v>6883</v>
      </c>
      <c r="H903" t="s">
        <v>26</v>
      </c>
      <c r="I903" t="s">
        <v>26</v>
      </c>
      <c r="J903" t="s">
        <v>26</v>
      </c>
      <c r="K903" t="s">
        <v>6884</v>
      </c>
      <c r="L903" t="s">
        <v>26</v>
      </c>
      <c r="M903" t="s">
        <v>26</v>
      </c>
      <c r="N903" t="s">
        <v>26</v>
      </c>
      <c r="O903" t="s">
        <v>26</v>
      </c>
      <c r="P903" t="s">
        <v>26</v>
      </c>
      <c r="Q903" t="s">
        <v>26</v>
      </c>
      <c r="R903" t="s">
        <v>2562</v>
      </c>
      <c r="S903" t="s">
        <v>6885</v>
      </c>
    </row>
    <row r="904" spans="1:19" x14ac:dyDescent="0.2">
      <c r="A904" t="s">
        <v>6886</v>
      </c>
      <c r="B904" t="s">
        <v>6886</v>
      </c>
      <c r="C904" t="s">
        <v>6887</v>
      </c>
      <c r="D904" t="s">
        <v>22</v>
      </c>
      <c r="E904" t="b">
        <v>0</v>
      </c>
      <c r="F904" t="s">
        <v>23</v>
      </c>
      <c r="G904" t="s">
        <v>6888</v>
      </c>
      <c r="H904" t="s">
        <v>6608</v>
      </c>
      <c r="I904" t="s">
        <v>26</v>
      </c>
      <c r="J904" t="s">
        <v>27</v>
      </c>
      <c r="K904" t="s">
        <v>6889</v>
      </c>
      <c r="L904" t="s">
        <v>6886</v>
      </c>
      <c r="M904" t="s">
        <v>6890</v>
      </c>
      <c r="N904" t="s">
        <v>26</v>
      </c>
      <c r="O904" t="s">
        <v>6891</v>
      </c>
      <c r="P904">
        <f>34-605-894-826</f>
        <v>-2291</v>
      </c>
      <c r="Q904" t="s">
        <v>26</v>
      </c>
      <c r="R904" t="s">
        <v>2562</v>
      </c>
      <c r="S904" t="s">
        <v>6892</v>
      </c>
    </row>
    <row r="905" spans="1:19" x14ac:dyDescent="0.2">
      <c r="A905" t="s">
        <v>6893</v>
      </c>
      <c r="B905" t="s">
        <v>6893</v>
      </c>
      <c r="C905" t="s">
        <v>6894</v>
      </c>
      <c r="D905" t="s">
        <v>22</v>
      </c>
      <c r="E905" t="b">
        <v>0</v>
      </c>
      <c r="F905" t="s">
        <v>23</v>
      </c>
      <c r="G905" t="s">
        <v>6895</v>
      </c>
      <c r="H905" t="s">
        <v>6896</v>
      </c>
      <c r="I905" t="s">
        <v>26</v>
      </c>
      <c r="J905" t="s">
        <v>27</v>
      </c>
      <c r="K905" t="s">
        <v>6897</v>
      </c>
      <c r="L905" t="s">
        <v>6898</v>
      </c>
      <c r="M905" t="s">
        <v>6899</v>
      </c>
      <c r="N905" t="s">
        <v>26</v>
      </c>
      <c r="O905" t="s">
        <v>6900</v>
      </c>
      <c r="P905" t="s">
        <v>26</v>
      </c>
      <c r="Q905" s="3" t="d">
        <v>2026-01-10</v>
      </c>
      <c r="R905" t="s">
        <v>6901</v>
      </c>
      <c r="S905" t="s">
        <v>6902</v>
      </c>
    </row>
    <row r="906" spans="1:19" x14ac:dyDescent="0.2">
      <c r="A906" t="s">
        <v>6903</v>
      </c>
      <c r="B906" t="s">
        <v>26</v>
      </c>
      <c r="C906" t="s">
        <v>6904</v>
      </c>
      <c r="D906" t="s">
        <v>26</v>
      </c>
      <c r="E906" t="s">
        <v>26</v>
      </c>
      <c r="F906" t="s">
        <v>26</v>
      </c>
      <c r="G906" t="s">
        <v>6905</v>
      </c>
      <c r="H906" t="s">
        <v>26</v>
      </c>
      <c r="I906" t="s">
        <v>26</v>
      </c>
      <c r="J906" t="s">
        <v>26</v>
      </c>
      <c r="K906" t="s">
        <v>6906</v>
      </c>
      <c r="L906" t="s">
        <v>6903</v>
      </c>
      <c r="M906" t="s">
        <v>26</v>
      </c>
      <c r="N906" t="s">
        <v>26</v>
      </c>
      <c r="O906" t="s">
        <v>26</v>
      </c>
      <c r="P906" t="s">
        <v>26</v>
      </c>
      <c r="Q906" t="s">
        <v>26</v>
      </c>
      <c r="R906" t="s">
        <v>2562</v>
      </c>
      <c r="S906" t="s">
        <v>6907</v>
      </c>
    </row>
    <row r="907" spans="1:19" x14ac:dyDescent="0.2">
      <c r="A907" t="s">
        <v>6908</v>
      </c>
      <c r="B907" t="s">
        <v>26</v>
      </c>
      <c r="C907" t="s">
        <v>6909</v>
      </c>
      <c r="D907" t="s">
        <v>26</v>
      </c>
      <c r="E907" t="s">
        <v>26</v>
      </c>
      <c r="F907" t="s">
        <v>26</v>
      </c>
      <c r="G907" t="s">
        <v>6910</v>
      </c>
      <c r="H907" t="s">
        <v>26</v>
      </c>
      <c r="I907" t="s">
        <v>26</v>
      </c>
      <c r="J907" t="s">
        <v>26</v>
      </c>
      <c r="K907" t="s">
        <v>6911</v>
      </c>
      <c r="L907" t="s">
        <v>6908</v>
      </c>
      <c r="M907" t="s">
        <v>26</v>
      </c>
      <c r="N907" t="s">
        <v>26</v>
      </c>
      <c r="O907" t="s">
        <v>26</v>
      </c>
      <c r="P907" t="s">
        <v>26</v>
      </c>
      <c r="Q907" t="s">
        <v>26</v>
      </c>
      <c r="R907" t="s">
        <v>2562</v>
      </c>
      <c r="S907" t="s">
        <v>6912</v>
      </c>
    </row>
    <row r="908" spans="1:19" x14ac:dyDescent="0.2">
      <c r="A908" t="s">
        <v>6913</v>
      </c>
      <c r="B908" t="s">
        <v>6913</v>
      </c>
      <c r="C908" t="s">
        <v>6914</v>
      </c>
      <c r="D908" t="s">
        <v>22</v>
      </c>
      <c r="E908" t="b">
        <v>0</v>
      </c>
      <c r="F908" t="s">
        <v>23</v>
      </c>
      <c r="G908" t="s">
        <v>6915</v>
      </c>
      <c r="H908" t="s">
        <v>436</v>
      </c>
      <c r="I908" t="s">
        <v>26</v>
      </c>
      <c r="J908" t="s">
        <v>27</v>
      </c>
      <c r="K908" t="s">
        <v>6916</v>
      </c>
      <c r="L908" t="s">
        <v>6917</v>
      </c>
      <c r="M908" t="s">
        <v>6918</v>
      </c>
      <c r="N908" t="s">
        <v>6919</v>
      </c>
      <c r="O908" t="s">
        <v>6920</v>
      </c>
      <c r="P908">
        <v>46701424010</v>
      </c>
      <c r="Q908" s="3" t="d">
        <v>2026-01-10</v>
      </c>
      <c r="R908" t="s">
        <v>4765</v>
      </c>
      <c r="S908" t="s">
        <v>6921</v>
      </c>
    </row>
    <row r="909" spans="1:19" x14ac:dyDescent="0.2">
      <c r="A909" t="s">
        <v>6922</v>
      </c>
      <c r="B909" t="s">
        <v>6923</v>
      </c>
      <c r="C909" t="s">
        <v>6924</v>
      </c>
      <c r="D909" t="s">
        <v>22</v>
      </c>
      <c r="E909" t="b">
        <v>0</v>
      </c>
      <c r="F909" t="s">
        <v>26</v>
      </c>
      <c r="G909" t="s">
        <v>6925</v>
      </c>
      <c r="H909" t="s">
        <v>67</v>
      </c>
      <c r="I909" t="s">
        <v>26</v>
      </c>
      <c r="J909" t="s">
        <v>27</v>
      </c>
      <c r="K909" t="s">
        <v>6926</v>
      </c>
      <c r="L909" t="s">
        <v>6927</v>
      </c>
      <c r="M909" t="s">
        <v>26</v>
      </c>
      <c r="N909" t="s">
        <v>26</v>
      </c>
      <c r="O909" t="s">
        <v>26</v>
      </c>
      <c r="P909" t="s">
        <v>26</v>
      </c>
      <c r="Q909" s="3" t="d">
        <v>2026-01-10</v>
      </c>
      <c r="R909" t="s">
        <v>6928</v>
      </c>
      <c r="S909" t="s">
        <v>6929</v>
      </c>
    </row>
    <row r="910" spans="1:19" x14ac:dyDescent="0.2">
      <c r="A910" t="s">
        <v>6930</v>
      </c>
      <c r="B910" t="s">
        <v>6931</v>
      </c>
      <c r="C910" t="s">
        <v>6932</v>
      </c>
      <c r="D910" t="s">
        <v>22</v>
      </c>
      <c r="E910" t="b">
        <v>0</v>
      </c>
      <c r="F910" t="s">
        <v>23</v>
      </c>
      <c r="G910" t="s">
        <v>6933</v>
      </c>
      <c r="H910" t="s">
        <v>6934</v>
      </c>
      <c r="I910" t="s">
        <v>26</v>
      </c>
      <c r="J910" t="s">
        <v>27</v>
      </c>
      <c r="K910" t="s">
        <v>6935</v>
      </c>
      <c r="L910" t="s">
        <v>6936</v>
      </c>
      <c r="M910" t="s">
        <v>6937</v>
      </c>
      <c r="N910" t="s">
        <v>26</v>
      </c>
      <c r="O910" t="s">
        <v>6938</v>
      </c>
      <c r="P910" t="s">
        <v>6939</v>
      </c>
      <c r="Q910" s="1" t="d">
        <v>1950-11-01</v>
      </c>
      <c r="R910" t="s">
        <v>6940</v>
      </c>
      <c r="S910" t="s">
        <v>6941</v>
      </c>
    </row>
    <row r="911" spans="1:19" x14ac:dyDescent="0.2">
      <c r="A911" t="s">
        <v>6942</v>
      </c>
      <c r="B911" t="s">
        <v>26</v>
      </c>
      <c r="C911" t="s">
        <v>6943</v>
      </c>
      <c r="D911" t="s">
        <v>26</v>
      </c>
      <c r="E911" t="s">
        <v>26</v>
      </c>
      <c r="F911" t="s">
        <v>26</v>
      </c>
      <c r="G911" t="s">
        <v>6944</v>
      </c>
      <c r="H911" t="s">
        <v>26</v>
      </c>
      <c r="I911" t="s">
        <v>26</v>
      </c>
      <c r="J911" t="s">
        <v>26</v>
      </c>
      <c r="K911" t="s">
        <v>6945</v>
      </c>
      <c r="L911" t="s">
        <v>6946</v>
      </c>
      <c r="M911" t="s">
        <v>6947</v>
      </c>
      <c r="N911" t="s">
        <v>26</v>
      </c>
      <c r="O911" t="s">
        <v>26</v>
      </c>
      <c r="P911" t="s">
        <v>26</v>
      </c>
      <c r="Q911" t="s">
        <v>26</v>
      </c>
      <c r="R911" t="s">
        <v>4765</v>
      </c>
      <c r="S911" t="s">
        <v>6948</v>
      </c>
    </row>
    <row r="912" spans="1:19" x14ac:dyDescent="0.2">
      <c r="A912" t="s">
        <v>6949</v>
      </c>
      <c r="B912" t="s">
        <v>26</v>
      </c>
      <c r="C912" t="s">
        <v>6950</v>
      </c>
      <c r="D912" t="s">
        <v>26</v>
      </c>
      <c r="E912" t="s">
        <v>26</v>
      </c>
      <c r="F912" t="s">
        <v>26</v>
      </c>
      <c r="G912" t="s">
        <v>6951</v>
      </c>
      <c r="H912" t="s">
        <v>26</v>
      </c>
      <c r="I912" t="s">
        <v>26</v>
      </c>
      <c r="J912" t="s">
        <v>26</v>
      </c>
      <c r="K912" t="s">
        <v>6952</v>
      </c>
      <c r="L912" t="s">
        <v>26</v>
      </c>
      <c r="M912" t="s">
        <v>26</v>
      </c>
      <c r="N912" t="s">
        <v>26</v>
      </c>
      <c r="O912" t="s">
        <v>26</v>
      </c>
      <c r="P912" t="s">
        <v>26</v>
      </c>
      <c r="Q912" t="s">
        <v>26</v>
      </c>
      <c r="R912" t="s">
        <v>4765</v>
      </c>
      <c r="S912" t="s">
        <v>6953</v>
      </c>
    </row>
    <row r="913" spans="1:19" x14ac:dyDescent="0.2">
      <c r="A913" t="s">
        <v>6954</v>
      </c>
      <c r="B913" t="s">
        <v>26</v>
      </c>
      <c r="C913" t="s">
        <v>6955</v>
      </c>
      <c r="D913" t="s">
        <v>26</v>
      </c>
      <c r="E913" t="s">
        <v>26</v>
      </c>
      <c r="F913" t="s">
        <v>26</v>
      </c>
      <c r="G913" t="s">
        <v>6956</v>
      </c>
      <c r="H913" t="s">
        <v>26</v>
      </c>
      <c r="I913" t="s">
        <v>26</v>
      </c>
      <c r="J913" t="s">
        <v>26</v>
      </c>
      <c r="K913" t="s">
        <v>6957</v>
      </c>
      <c r="L913" t="s">
        <v>6958</v>
      </c>
      <c r="M913" t="s">
        <v>26</v>
      </c>
      <c r="N913" t="s">
        <v>26</v>
      </c>
      <c r="O913" t="s">
        <v>26</v>
      </c>
      <c r="P913" t="s">
        <v>26</v>
      </c>
      <c r="Q913" t="s">
        <v>26</v>
      </c>
      <c r="R913" t="s">
        <v>412</v>
      </c>
      <c r="S913" t="s">
        <v>6959</v>
      </c>
    </row>
    <row r="914" spans="1:19" x14ac:dyDescent="0.2">
      <c r="A914" t="s">
        <v>6960</v>
      </c>
      <c r="B914" t="s">
        <v>26</v>
      </c>
      <c r="C914" t="s">
        <v>6961</v>
      </c>
      <c r="D914" t="s">
        <v>26</v>
      </c>
      <c r="E914" t="s">
        <v>26</v>
      </c>
      <c r="F914" t="s">
        <v>26</v>
      </c>
      <c r="G914" t="s">
        <v>6962</v>
      </c>
      <c r="H914" t="s">
        <v>26</v>
      </c>
      <c r="I914" t="s">
        <v>26</v>
      </c>
      <c r="J914" t="s">
        <v>26</v>
      </c>
      <c r="K914" t="s">
        <v>6963</v>
      </c>
      <c r="L914" t="s">
        <v>6960</v>
      </c>
      <c r="M914" t="s">
        <v>6964</v>
      </c>
      <c r="N914" t="s">
        <v>26</v>
      </c>
      <c r="O914" t="s">
        <v>26</v>
      </c>
      <c r="P914" t="s">
        <v>26</v>
      </c>
      <c r="Q914" t="s">
        <v>26</v>
      </c>
      <c r="R914" t="s">
        <v>4765</v>
      </c>
      <c r="S914" t="s">
        <v>6965</v>
      </c>
    </row>
    <row r="915" spans="1:19" x14ac:dyDescent="0.2">
      <c r="A915" t="s">
        <v>6966</v>
      </c>
      <c r="B915" t="s">
        <v>26</v>
      </c>
      <c r="C915" t="s">
        <v>6967</v>
      </c>
      <c r="D915" t="s">
        <v>26</v>
      </c>
      <c r="E915" t="s">
        <v>26</v>
      </c>
      <c r="F915" t="s">
        <v>26</v>
      </c>
      <c r="G915" t="s">
        <v>6968</v>
      </c>
      <c r="H915" t="s">
        <v>26</v>
      </c>
      <c r="I915" t="s">
        <v>26</v>
      </c>
      <c r="J915" t="s">
        <v>26</v>
      </c>
      <c r="K915" t="s">
        <v>6969</v>
      </c>
      <c r="L915" t="s">
        <v>6970</v>
      </c>
      <c r="M915" t="s">
        <v>26</v>
      </c>
      <c r="N915" t="s">
        <v>26</v>
      </c>
      <c r="O915" t="s">
        <v>26</v>
      </c>
      <c r="P915" t="s">
        <v>26</v>
      </c>
      <c r="Q915" t="s">
        <v>26</v>
      </c>
      <c r="R915" t="s">
        <v>4765</v>
      </c>
      <c r="S915" t="s">
        <v>6971</v>
      </c>
    </row>
    <row r="916" spans="1:19" x14ac:dyDescent="0.2">
      <c r="A916" t="s">
        <v>6972</v>
      </c>
      <c r="B916" t="s">
        <v>26</v>
      </c>
      <c r="C916" t="s">
        <v>6973</v>
      </c>
      <c r="D916" t="s">
        <v>26</v>
      </c>
      <c r="E916" t="s">
        <v>26</v>
      </c>
      <c r="F916" t="s">
        <v>26</v>
      </c>
      <c r="G916" t="s">
        <v>6974</v>
      </c>
      <c r="H916" t="s">
        <v>26</v>
      </c>
      <c r="I916" t="s">
        <v>26</v>
      </c>
      <c r="J916" t="s">
        <v>26</v>
      </c>
      <c r="K916" t="s">
        <v>6975</v>
      </c>
      <c r="L916" t="s">
        <v>6972</v>
      </c>
      <c r="M916" t="s">
        <v>6976</v>
      </c>
      <c r="N916" t="s">
        <v>26</v>
      </c>
      <c r="O916" t="s">
        <v>26</v>
      </c>
      <c r="P916" t="s">
        <v>26</v>
      </c>
      <c r="Q916" t="s">
        <v>26</v>
      </c>
      <c r="R916" t="s">
        <v>4765</v>
      </c>
      <c r="S916" t="s">
        <v>6977</v>
      </c>
    </row>
    <row r="917" spans="1:19" x14ac:dyDescent="0.2">
      <c r="A917" t="s">
        <v>6978</v>
      </c>
      <c r="B917" t="s">
        <v>6978</v>
      </c>
      <c r="C917" t="s">
        <v>6979</v>
      </c>
      <c r="D917" t="s">
        <v>22</v>
      </c>
      <c r="E917" t="b">
        <v>0</v>
      </c>
      <c r="F917" t="s">
        <v>26</v>
      </c>
      <c r="G917" t="s">
        <v>6980</v>
      </c>
      <c r="H917" t="s">
        <v>53</v>
      </c>
      <c r="I917" t="s">
        <v>26</v>
      </c>
      <c r="J917" t="s">
        <v>27</v>
      </c>
      <c r="K917" t="s">
        <v>6981</v>
      </c>
      <c r="L917" t="s">
        <v>26</v>
      </c>
      <c r="M917" t="s">
        <v>6982</v>
      </c>
      <c r="N917" t="s">
        <v>26</v>
      </c>
      <c r="O917" t="s">
        <v>26</v>
      </c>
      <c r="P917" t="s">
        <v>26</v>
      </c>
      <c r="Q917" t="s">
        <v>26</v>
      </c>
      <c r="R917" t="s">
        <v>4765</v>
      </c>
      <c r="S917" t="s">
        <v>6983</v>
      </c>
    </row>
    <row r="918" spans="1:19" x14ac:dyDescent="0.2">
      <c r="A918" t="s">
        <v>6984</v>
      </c>
      <c r="B918" t="s">
        <v>26</v>
      </c>
      <c r="C918" t="s">
        <v>6985</v>
      </c>
      <c r="D918" t="s">
        <v>26</v>
      </c>
      <c r="E918" t="s">
        <v>26</v>
      </c>
      <c r="F918" t="s">
        <v>26</v>
      </c>
      <c r="G918" t="s">
        <v>6986</v>
      </c>
      <c r="H918" t="s">
        <v>26</v>
      </c>
      <c r="I918" t="s">
        <v>26</v>
      </c>
      <c r="J918" t="s">
        <v>26</v>
      </c>
      <c r="K918" t="s">
        <v>26</v>
      </c>
      <c r="L918" t="s">
        <v>26</v>
      </c>
      <c r="M918" t="s">
        <v>26</v>
      </c>
      <c r="N918" t="s">
        <v>26</v>
      </c>
      <c r="O918" t="s">
        <v>26</v>
      </c>
      <c r="P918" t="s">
        <v>26</v>
      </c>
      <c r="Q918" t="s">
        <v>26</v>
      </c>
      <c r="R918" t="s">
        <v>4765</v>
      </c>
      <c r="S918" t="s">
        <v>6987</v>
      </c>
    </row>
    <row r="919" spans="1:19" x14ac:dyDescent="0.2">
      <c r="A919" t="s">
        <v>6988</v>
      </c>
      <c r="B919" t="s">
        <v>26</v>
      </c>
      <c r="C919" t="s">
        <v>6989</v>
      </c>
      <c r="D919" t="s">
        <v>26</v>
      </c>
      <c r="E919" t="s">
        <v>26</v>
      </c>
      <c r="F919" t="s">
        <v>26</v>
      </c>
      <c r="G919" t="s">
        <v>6990</v>
      </c>
      <c r="H919" t="s">
        <v>26</v>
      </c>
      <c r="I919" t="s">
        <v>26</v>
      </c>
      <c r="J919" t="s">
        <v>26</v>
      </c>
      <c r="K919" t="s">
        <v>6991</v>
      </c>
      <c r="L919" t="s">
        <v>26</v>
      </c>
      <c r="M919" t="s">
        <v>6992</v>
      </c>
      <c r="N919" t="s">
        <v>26</v>
      </c>
      <c r="O919" t="s">
        <v>26</v>
      </c>
      <c r="P919" t="s">
        <v>26</v>
      </c>
      <c r="Q919" t="s">
        <v>26</v>
      </c>
      <c r="R919" t="s">
        <v>4765</v>
      </c>
      <c r="S919" t="s">
        <v>6993</v>
      </c>
    </row>
    <row r="920" spans="1:19" x14ac:dyDescent="0.2">
      <c r="A920" t="s">
        <v>6994</v>
      </c>
      <c r="B920" t="s">
        <v>6995</v>
      </c>
      <c r="C920" t="s">
        <v>6996</v>
      </c>
      <c r="D920" t="s">
        <v>22</v>
      </c>
      <c r="E920" t="b">
        <v>0</v>
      </c>
      <c r="F920" t="s">
        <v>23</v>
      </c>
      <c r="G920" t="s">
        <v>6997</v>
      </c>
      <c r="H920" t="s">
        <v>67</v>
      </c>
      <c r="I920" t="s">
        <v>26</v>
      </c>
      <c r="J920" t="s">
        <v>27</v>
      </c>
      <c r="K920" t="s">
        <v>6998</v>
      </c>
      <c r="L920" t="s">
        <v>6999</v>
      </c>
      <c r="M920" t="s">
        <v>7000</v>
      </c>
      <c r="N920" t="s">
        <v>7001</v>
      </c>
      <c r="O920" t="s">
        <v>7002</v>
      </c>
      <c r="P920" t="s">
        <v>26</v>
      </c>
      <c r="Q920" s="3" t="d">
        <v>2026-01-10</v>
      </c>
      <c r="R920" t="s">
        <v>6940</v>
      </c>
      <c r="S920" t="s">
        <v>7003</v>
      </c>
    </row>
    <row r="921" spans="1:19" x14ac:dyDescent="0.2">
      <c r="A921" t="s">
        <v>7004</v>
      </c>
      <c r="B921" t="s">
        <v>26</v>
      </c>
      <c r="C921" t="s">
        <v>7005</v>
      </c>
      <c r="D921" t="s">
        <v>26</v>
      </c>
      <c r="E921" t="s">
        <v>26</v>
      </c>
      <c r="F921" t="s">
        <v>26</v>
      </c>
      <c r="G921" t="s">
        <v>7006</v>
      </c>
      <c r="H921" t="s">
        <v>26</v>
      </c>
      <c r="I921" t="s">
        <v>26</v>
      </c>
      <c r="J921" t="s">
        <v>26</v>
      </c>
      <c r="K921" t="s">
        <v>26</v>
      </c>
      <c r="L921" t="s">
        <v>26</v>
      </c>
      <c r="M921" t="s">
        <v>26</v>
      </c>
      <c r="N921" t="s">
        <v>26</v>
      </c>
      <c r="O921" t="s">
        <v>26</v>
      </c>
      <c r="P921" t="s">
        <v>26</v>
      </c>
      <c r="Q921" t="s">
        <v>26</v>
      </c>
      <c r="R921" t="s">
        <v>4765</v>
      </c>
      <c r="S921" t="s">
        <v>7007</v>
      </c>
    </row>
    <row r="922" spans="1:19" x14ac:dyDescent="0.2">
      <c r="A922" t="s">
        <v>7008</v>
      </c>
      <c r="B922" t="s">
        <v>26</v>
      </c>
      <c r="C922" t="s">
        <v>7009</v>
      </c>
      <c r="D922" t="s">
        <v>26</v>
      </c>
      <c r="E922" t="s">
        <v>26</v>
      </c>
      <c r="F922" t="s">
        <v>26</v>
      </c>
      <c r="G922" t="s">
        <v>7010</v>
      </c>
      <c r="H922" t="s">
        <v>26</v>
      </c>
      <c r="I922" t="s">
        <v>26</v>
      </c>
      <c r="J922" t="s">
        <v>26</v>
      </c>
      <c r="K922" t="s">
        <v>7011</v>
      </c>
      <c r="L922" t="s">
        <v>26</v>
      </c>
      <c r="M922" t="s">
        <v>26</v>
      </c>
      <c r="N922" t="s">
        <v>26</v>
      </c>
      <c r="O922" t="s">
        <v>26</v>
      </c>
      <c r="P922" t="s">
        <v>26</v>
      </c>
      <c r="Q922" t="s">
        <v>26</v>
      </c>
      <c r="R922" t="s">
        <v>4765</v>
      </c>
      <c r="S922" t="s">
        <v>7012</v>
      </c>
    </row>
    <row r="923" spans="1:19" x14ac:dyDescent="0.2">
      <c r="A923" t="s">
        <v>7013</v>
      </c>
      <c r="B923" t="s">
        <v>26</v>
      </c>
      <c r="C923" t="s">
        <v>7014</v>
      </c>
      <c r="D923" t="s">
        <v>26</v>
      </c>
      <c r="E923" t="s">
        <v>26</v>
      </c>
      <c r="F923" t="s">
        <v>26</v>
      </c>
      <c r="G923" t="s">
        <v>7015</v>
      </c>
      <c r="H923" t="s">
        <v>26</v>
      </c>
      <c r="I923" t="s">
        <v>26</v>
      </c>
      <c r="J923" t="s">
        <v>26</v>
      </c>
      <c r="K923" t="s">
        <v>7016</v>
      </c>
      <c r="L923" t="s">
        <v>7013</v>
      </c>
      <c r="M923" t="s">
        <v>7017</v>
      </c>
      <c r="N923" t="s">
        <v>26</v>
      </c>
      <c r="O923" t="s">
        <v>26</v>
      </c>
      <c r="P923" t="s">
        <v>26</v>
      </c>
      <c r="Q923" t="s">
        <v>26</v>
      </c>
      <c r="R923" t="s">
        <v>6940</v>
      </c>
      <c r="S923" t="s">
        <v>7018</v>
      </c>
    </row>
    <row r="924" spans="1:19" x14ac:dyDescent="0.2">
      <c r="A924" t="s">
        <v>7019</v>
      </c>
      <c r="B924" t="s">
        <v>7019</v>
      </c>
      <c r="C924" t="s">
        <v>7020</v>
      </c>
      <c r="D924" t="s">
        <v>22</v>
      </c>
      <c r="E924" t="b">
        <v>0</v>
      </c>
      <c r="F924" t="s">
        <v>23</v>
      </c>
      <c r="G924" t="s">
        <v>7021</v>
      </c>
      <c r="H924" t="s">
        <v>1064</v>
      </c>
      <c r="I924" t="s">
        <v>26</v>
      </c>
      <c r="J924" t="s">
        <v>27</v>
      </c>
      <c r="K924" t="s">
        <v>7022</v>
      </c>
      <c r="L924" t="s">
        <v>26</v>
      </c>
      <c r="M924" t="s">
        <v>7023</v>
      </c>
      <c r="N924" t="s">
        <v>26</v>
      </c>
      <c r="O924" t="s">
        <v>7024</v>
      </c>
      <c r="P924" t="s">
        <v>26</v>
      </c>
      <c r="Q924" s="3" t="d">
        <v>2026-01-10</v>
      </c>
      <c r="R924" t="s">
        <v>6901</v>
      </c>
      <c r="S924" t="s">
        <v>7025</v>
      </c>
    </row>
    <row r="925" spans="1:19" x14ac:dyDescent="0.2">
      <c r="A925" t="s">
        <v>7026</v>
      </c>
      <c r="B925" t="s">
        <v>7026</v>
      </c>
      <c r="C925" t="s">
        <v>7027</v>
      </c>
      <c r="D925" t="s">
        <v>22</v>
      </c>
      <c r="E925" t="b">
        <v>0</v>
      </c>
      <c r="F925" t="s">
        <v>23</v>
      </c>
      <c r="G925" t="s">
        <v>7028</v>
      </c>
      <c r="H925" t="s">
        <v>67</v>
      </c>
      <c r="I925" t="s">
        <v>26</v>
      </c>
      <c r="J925" t="s">
        <v>27</v>
      </c>
      <c r="K925" t="s">
        <v>7029</v>
      </c>
      <c r="L925" t="s">
        <v>7030</v>
      </c>
      <c r="M925" t="s">
        <v>26</v>
      </c>
      <c r="N925" t="s">
        <v>26</v>
      </c>
      <c r="O925" t="s">
        <v>7031</v>
      </c>
      <c r="P925" t="s">
        <v>26</v>
      </c>
      <c r="Q925" s="1" t="d">
        <v>1950-11-01</v>
      </c>
      <c r="R925" t="s">
        <v>7032</v>
      </c>
      <c r="S925" t="s">
        <v>7033</v>
      </c>
    </row>
    <row r="926" spans="1:19" x14ac:dyDescent="0.2">
      <c r="A926" t="s">
        <v>7034</v>
      </c>
      <c r="B926" t="s">
        <v>7035</v>
      </c>
      <c r="C926" t="s">
        <v>7036</v>
      </c>
      <c r="D926" t="s">
        <v>22</v>
      </c>
      <c r="E926" t="b">
        <v>0</v>
      </c>
      <c r="F926" t="s">
        <v>23</v>
      </c>
      <c r="G926" t="s">
        <v>7037</v>
      </c>
      <c r="H926" t="s">
        <v>6239</v>
      </c>
      <c r="I926" t="s">
        <v>26</v>
      </c>
      <c r="J926" t="s">
        <v>27</v>
      </c>
      <c r="K926" t="s">
        <v>7038</v>
      </c>
      <c r="L926" t="s">
        <v>7035</v>
      </c>
      <c r="M926" t="s">
        <v>7039</v>
      </c>
      <c r="N926" t="s">
        <v>26</v>
      </c>
      <c r="O926" t="s">
        <v>7040</v>
      </c>
      <c r="P926" t="s">
        <v>26</v>
      </c>
      <c r="Q926" t="s">
        <v>40</v>
      </c>
      <c r="R926" t="s">
        <v>7041</v>
      </c>
      <c r="S926" t="s">
        <v>7042</v>
      </c>
    </row>
    <row r="927" spans="1:19" x14ac:dyDescent="0.2">
      <c r="A927" t="s">
        <v>7043</v>
      </c>
      <c r="B927" t="s">
        <v>7044</v>
      </c>
      <c r="C927" t="s">
        <v>7045</v>
      </c>
      <c r="D927" t="s">
        <v>22</v>
      </c>
      <c r="E927" t="b">
        <v>0</v>
      </c>
      <c r="F927" t="s">
        <v>23</v>
      </c>
      <c r="G927" t="s">
        <v>7046</v>
      </c>
      <c r="H927" t="s">
        <v>1064</v>
      </c>
      <c r="I927" t="s">
        <v>26</v>
      </c>
      <c r="J927" t="s">
        <v>27</v>
      </c>
      <c r="K927" t="s">
        <v>26</v>
      </c>
      <c r="L927" t="s">
        <v>26</v>
      </c>
      <c r="M927" t="s">
        <v>26</v>
      </c>
      <c r="N927" t="s">
        <v>26</v>
      </c>
      <c r="O927" t="s">
        <v>26</v>
      </c>
      <c r="P927" t="s">
        <v>26</v>
      </c>
      <c r="Q927" t="s">
        <v>26</v>
      </c>
      <c r="R927" t="s">
        <v>1040</v>
      </c>
      <c r="S927" t="s">
        <v>7047</v>
      </c>
    </row>
    <row r="928" spans="1:19" x14ac:dyDescent="0.2">
      <c r="A928" t="s">
        <v>7048</v>
      </c>
      <c r="B928" t="s">
        <v>7049</v>
      </c>
      <c r="C928" t="s">
        <v>7050</v>
      </c>
      <c r="D928" t="s">
        <v>22</v>
      </c>
      <c r="E928" t="b">
        <v>0</v>
      </c>
      <c r="F928" t="s">
        <v>23</v>
      </c>
      <c r="G928" t="s">
        <v>7051</v>
      </c>
      <c r="H928" t="s">
        <v>1069</v>
      </c>
      <c r="I928" t="s">
        <v>26</v>
      </c>
      <c r="J928" t="s">
        <v>27</v>
      </c>
      <c r="K928" t="s">
        <v>7052</v>
      </c>
      <c r="L928" t="s">
        <v>7053</v>
      </c>
      <c r="M928" t="s">
        <v>7054</v>
      </c>
      <c r="N928" t="s">
        <v>26</v>
      </c>
      <c r="O928" t="s">
        <v>26</v>
      </c>
      <c r="P928" t="s">
        <v>26</v>
      </c>
      <c r="Q928" t="s">
        <v>54</v>
      </c>
      <c r="R928" t="s">
        <v>7032</v>
      </c>
      <c r="S928" t="s">
        <v>7055</v>
      </c>
    </row>
    <row r="929" spans="1:19" x14ac:dyDescent="0.2">
      <c r="A929" t="s">
        <v>7056</v>
      </c>
      <c r="B929" t="s">
        <v>7056</v>
      </c>
      <c r="C929" t="s">
        <v>7057</v>
      </c>
      <c r="D929" t="s">
        <v>22</v>
      </c>
      <c r="E929" t="b">
        <v>0</v>
      </c>
      <c r="F929" t="s">
        <v>23</v>
      </c>
      <c r="G929" t="s">
        <v>7058</v>
      </c>
      <c r="H929" t="s">
        <v>529</v>
      </c>
      <c r="I929" t="s">
        <v>26</v>
      </c>
      <c r="J929" t="s">
        <v>27</v>
      </c>
      <c r="K929" t="s">
        <v>7059</v>
      </c>
      <c r="L929" t="s">
        <v>7056</v>
      </c>
      <c r="M929" t="s">
        <v>7060</v>
      </c>
      <c r="N929" t="s">
        <v>26</v>
      </c>
      <c r="O929" t="s">
        <v>7061</v>
      </c>
      <c r="P929" t="s">
        <v>26</v>
      </c>
      <c r="Q929" s="3" t="d">
        <v>2026-01-10</v>
      </c>
      <c r="R929" t="s">
        <v>5041</v>
      </c>
      <c r="S929" t="s">
        <v>7062</v>
      </c>
    </row>
    <row r="930" spans="1:19" x14ac:dyDescent="0.2">
      <c r="A930" t="s">
        <v>7063</v>
      </c>
      <c r="B930" t="s">
        <v>26</v>
      </c>
      <c r="C930" t="s">
        <v>7064</v>
      </c>
      <c r="D930" t="s">
        <v>26</v>
      </c>
      <c r="E930" t="s">
        <v>26</v>
      </c>
      <c r="F930" t="s">
        <v>26</v>
      </c>
      <c r="G930" t="s">
        <v>7065</v>
      </c>
      <c r="H930" t="s">
        <v>26</v>
      </c>
      <c r="I930" t="s">
        <v>26</v>
      </c>
      <c r="J930" t="s">
        <v>26</v>
      </c>
      <c r="K930" t="s">
        <v>7066</v>
      </c>
      <c r="L930" t="s">
        <v>26</v>
      </c>
      <c r="M930" t="s">
        <v>26</v>
      </c>
      <c r="N930" t="s">
        <v>26</v>
      </c>
      <c r="O930" t="s">
        <v>26</v>
      </c>
      <c r="P930" t="s">
        <v>26</v>
      </c>
      <c r="Q930" t="s">
        <v>26</v>
      </c>
      <c r="R930" t="s">
        <v>714</v>
      </c>
      <c r="S930" t="s">
        <v>7067</v>
      </c>
    </row>
    <row r="931" spans="1:19" x14ac:dyDescent="0.2">
      <c r="A931" t="s">
        <v>7068</v>
      </c>
      <c r="B931" t="s">
        <v>26</v>
      </c>
      <c r="C931" t="s">
        <v>7069</v>
      </c>
      <c r="D931" t="s">
        <v>26</v>
      </c>
      <c r="E931" t="s">
        <v>26</v>
      </c>
      <c r="F931" t="s">
        <v>26</v>
      </c>
      <c r="G931" t="s">
        <v>7070</v>
      </c>
      <c r="H931" t="s">
        <v>26</v>
      </c>
      <c r="I931" t="s">
        <v>26</v>
      </c>
      <c r="J931" t="s">
        <v>26</v>
      </c>
      <c r="K931" t="s">
        <v>7071</v>
      </c>
      <c r="L931" t="s">
        <v>7068</v>
      </c>
      <c r="M931" t="s">
        <v>26</v>
      </c>
      <c r="N931" t="s">
        <v>26</v>
      </c>
      <c r="O931" t="s">
        <v>26</v>
      </c>
      <c r="P931" t="s">
        <v>26</v>
      </c>
      <c r="Q931" t="s">
        <v>26</v>
      </c>
      <c r="R931" t="s">
        <v>714</v>
      </c>
      <c r="S931" t="s">
        <v>7072</v>
      </c>
    </row>
    <row r="932" spans="1:19" x14ac:dyDescent="0.2">
      <c r="A932" t="s">
        <v>7073</v>
      </c>
      <c r="B932" t="s">
        <v>26</v>
      </c>
      <c r="C932" t="s">
        <v>7074</v>
      </c>
      <c r="D932" t="s">
        <v>26</v>
      </c>
      <c r="E932" t="s">
        <v>26</v>
      </c>
      <c r="F932" t="s">
        <v>26</v>
      </c>
      <c r="G932" t="s">
        <v>7075</v>
      </c>
      <c r="H932" t="s">
        <v>26</v>
      </c>
      <c r="I932" t="s">
        <v>26</v>
      </c>
      <c r="J932" t="s">
        <v>26</v>
      </c>
      <c r="K932" t="s">
        <v>7076</v>
      </c>
      <c r="L932" t="s">
        <v>7077</v>
      </c>
      <c r="M932" t="s">
        <v>26</v>
      </c>
      <c r="N932" t="s">
        <v>26</v>
      </c>
      <c r="O932" t="s">
        <v>26</v>
      </c>
      <c r="P932" t="s">
        <v>26</v>
      </c>
      <c r="Q932" t="s">
        <v>26</v>
      </c>
      <c r="R932" t="s">
        <v>714</v>
      </c>
      <c r="S932" t="s">
        <v>7078</v>
      </c>
    </row>
    <row r="933" spans="1:19" x14ac:dyDescent="0.2">
      <c r="A933" t="s">
        <v>7079</v>
      </c>
      <c r="B933" t="s">
        <v>26</v>
      </c>
      <c r="C933" t="s">
        <v>7080</v>
      </c>
      <c r="D933" t="s">
        <v>26</v>
      </c>
      <c r="E933" t="s">
        <v>26</v>
      </c>
      <c r="F933" t="s">
        <v>26</v>
      </c>
      <c r="G933" t="s">
        <v>7081</v>
      </c>
      <c r="H933" t="s">
        <v>26</v>
      </c>
      <c r="I933" t="s">
        <v>26</v>
      </c>
      <c r="J933" t="s">
        <v>26</v>
      </c>
      <c r="K933" t="s">
        <v>7082</v>
      </c>
      <c r="L933" t="s">
        <v>7079</v>
      </c>
      <c r="M933" t="s">
        <v>7083</v>
      </c>
      <c r="N933" t="s">
        <v>26</v>
      </c>
      <c r="O933" t="s">
        <v>26</v>
      </c>
      <c r="P933" t="s">
        <v>26</v>
      </c>
      <c r="Q933" t="s">
        <v>26</v>
      </c>
      <c r="R933" t="s">
        <v>2856</v>
      </c>
      <c r="S933" t="s">
        <v>7084</v>
      </c>
    </row>
    <row r="934" spans="1:19" x14ac:dyDescent="0.2">
      <c r="A934" t="s">
        <v>7085</v>
      </c>
      <c r="B934" t="s">
        <v>26</v>
      </c>
      <c r="C934" t="s">
        <v>7086</v>
      </c>
      <c r="D934" t="s">
        <v>26</v>
      </c>
      <c r="E934" t="s">
        <v>26</v>
      </c>
      <c r="F934" t="s">
        <v>26</v>
      </c>
      <c r="G934" t="s">
        <v>7087</v>
      </c>
      <c r="H934" t="s">
        <v>26</v>
      </c>
      <c r="I934" t="s">
        <v>26</v>
      </c>
      <c r="J934" t="s">
        <v>26</v>
      </c>
      <c r="K934" t="s">
        <v>7088</v>
      </c>
      <c r="L934" t="s">
        <v>7085</v>
      </c>
      <c r="M934" t="s">
        <v>7089</v>
      </c>
      <c r="N934" t="s">
        <v>26</v>
      </c>
      <c r="O934" t="s">
        <v>26</v>
      </c>
      <c r="P934" t="s">
        <v>26</v>
      </c>
      <c r="Q934" t="s">
        <v>26</v>
      </c>
      <c r="R934" t="s">
        <v>2856</v>
      </c>
      <c r="S934" t="s">
        <v>7090</v>
      </c>
    </row>
    <row r="935" spans="1:19" x14ac:dyDescent="0.2">
      <c r="A935" t="s">
        <v>7091</v>
      </c>
      <c r="B935" t="s">
        <v>26</v>
      </c>
      <c r="C935" t="s">
        <v>7092</v>
      </c>
      <c r="D935" t="s">
        <v>26</v>
      </c>
      <c r="E935" t="s">
        <v>26</v>
      </c>
      <c r="F935" t="s">
        <v>26</v>
      </c>
      <c r="G935" t="s">
        <v>7093</v>
      </c>
      <c r="H935" t="s">
        <v>26</v>
      </c>
      <c r="I935" t="s">
        <v>26</v>
      </c>
      <c r="J935" t="s">
        <v>26</v>
      </c>
      <c r="K935" t="s">
        <v>7094</v>
      </c>
      <c r="L935" t="s">
        <v>26</v>
      </c>
      <c r="M935" t="s">
        <v>26</v>
      </c>
      <c r="N935" t="s">
        <v>26</v>
      </c>
      <c r="O935" t="s">
        <v>26</v>
      </c>
      <c r="P935" t="s">
        <v>26</v>
      </c>
      <c r="Q935" t="s">
        <v>26</v>
      </c>
      <c r="R935" t="s">
        <v>2856</v>
      </c>
      <c r="S935" t="s">
        <v>7095</v>
      </c>
    </row>
    <row r="936" spans="1:19" x14ac:dyDescent="0.2">
      <c r="A936" t="s">
        <v>7096</v>
      </c>
      <c r="B936" t="s">
        <v>7097</v>
      </c>
      <c r="C936" t="s">
        <v>7098</v>
      </c>
      <c r="D936" t="s">
        <v>22</v>
      </c>
      <c r="E936" t="b">
        <v>0</v>
      </c>
      <c r="F936" t="s">
        <v>23</v>
      </c>
      <c r="G936" t="s">
        <v>7099</v>
      </c>
      <c r="H936" t="s">
        <v>7100</v>
      </c>
      <c r="I936" t="s">
        <v>26</v>
      </c>
      <c r="J936" t="s">
        <v>27</v>
      </c>
      <c r="K936" t="s">
        <v>7101</v>
      </c>
      <c r="L936" t="s">
        <v>7096</v>
      </c>
      <c r="M936" t="s">
        <v>26</v>
      </c>
      <c r="N936" t="s">
        <v>26</v>
      </c>
      <c r="O936" t="s">
        <v>7102</v>
      </c>
      <c r="P936" t="s">
        <v>26</v>
      </c>
      <c r="Q936" s="3" t="d">
        <v>2026-01-10</v>
      </c>
      <c r="R936" t="s">
        <v>2856</v>
      </c>
      <c r="S936" t="s">
        <v>7103</v>
      </c>
    </row>
    <row r="937" spans="1:19" x14ac:dyDescent="0.2">
      <c r="A937" t="s">
        <v>7104</v>
      </c>
      <c r="B937" t="s">
        <v>26</v>
      </c>
      <c r="C937" t="s">
        <v>7105</v>
      </c>
      <c r="D937" t="s">
        <v>26</v>
      </c>
      <c r="E937" t="s">
        <v>26</v>
      </c>
      <c r="F937" t="s">
        <v>26</v>
      </c>
      <c r="G937" t="s">
        <v>7106</v>
      </c>
      <c r="H937" t="s">
        <v>26</v>
      </c>
      <c r="I937" t="s">
        <v>26</v>
      </c>
      <c r="J937" t="s">
        <v>26</v>
      </c>
      <c r="K937" t="s">
        <v>7107</v>
      </c>
      <c r="L937" t="s">
        <v>7104</v>
      </c>
      <c r="M937" t="s">
        <v>26</v>
      </c>
      <c r="N937" t="s">
        <v>7108</v>
      </c>
      <c r="O937" t="s">
        <v>26</v>
      </c>
      <c r="P937" t="s">
        <v>26</v>
      </c>
      <c r="Q937" t="s">
        <v>26</v>
      </c>
      <c r="R937" t="s">
        <v>2856</v>
      </c>
      <c r="S937" t="s">
        <v>7109</v>
      </c>
    </row>
    <row r="938" spans="1:19" x14ac:dyDescent="0.2">
      <c r="A938" t="s">
        <v>7110</v>
      </c>
      <c r="B938" t="s">
        <v>26</v>
      </c>
      <c r="C938" t="s">
        <v>7111</v>
      </c>
      <c r="D938" t="s">
        <v>26</v>
      </c>
      <c r="E938" t="s">
        <v>26</v>
      </c>
      <c r="F938" t="s">
        <v>26</v>
      </c>
      <c r="G938" t="s">
        <v>7112</v>
      </c>
      <c r="H938" t="s">
        <v>26</v>
      </c>
      <c r="I938" t="s">
        <v>26</v>
      </c>
      <c r="J938" t="s">
        <v>26</v>
      </c>
      <c r="K938" t="s">
        <v>7113</v>
      </c>
      <c r="L938" t="s">
        <v>26</v>
      </c>
      <c r="M938" t="s">
        <v>26</v>
      </c>
      <c r="N938" t="s">
        <v>26</v>
      </c>
      <c r="O938" t="s">
        <v>26</v>
      </c>
      <c r="P938" t="s">
        <v>26</v>
      </c>
      <c r="Q938" t="s">
        <v>26</v>
      </c>
      <c r="R938" t="s">
        <v>2856</v>
      </c>
      <c r="S938" t="s">
        <v>7114</v>
      </c>
    </row>
    <row r="939" spans="1:19" x14ac:dyDescent="0.2">
      <c r="A939" t="s">
        <v>7115</v>
      </c>
      <c r="B939" t="s">
        <v>26</v>
      </c>
      <c r="C939" t="s">
        <v>7116</v>
      </c>
      <c r="D939" t="s">
        <v>26</v>
      </c>
      <c r="E939" t="s">
        <v>26</v>
      </c>
      <c r="F939" t="s">
        <v>26</v>
      </c>
      <c r="G939" t="s">
        <v>7117</v>
      </c>
      <c r="H939" t="s">
        <v>26</v>
      </c>
      <c r="I939" t="s">
        <v>26</v>
      </c>
      <c r="J939" t="s">
        <v>26</v>
      </c>
      <c r="K939" t="s">
        <v>7118</v>
      </c>
      <c r="L939" t="s">
        <v>7115</v>
      </c>
      <c r="M939" t="s">
        <v>26</v>
      </c>
      <c r="N939" t="s">
        <v>26</v>
      </c>
      <c r="O939" t="s">
        <v>26</v>
      </c>
      <c r="P939" t="s">
        <v>26</v>
      </c>
      <c r="Q939" t="s">
        <v>26</v>
      </c>
      <c r="R939" t="s">
        <v>2856</v>
      </c>
      <c r="S939" t="s">
        <v>7119</v>
      </c>
    </row>
    <row r="940" spans="1:19" x14ac:dyDescent="0.2">
      <c r="A940" t="s">
        <v>7120</v>
      </c>
      <c r="B940" t="s">
        <v>26</v>
      </c>
      <c r="C940" t="s">
        <v>7121</v>
      </c>
      <c r="D940" t="s">
        <v>26</v>
      </c>
      <c r="E940" t="s">
        <v>26</v>
      </c>
      <c r="F940" t="s">
        <v>26</v>
      </c>
      <c r="G940" t="s">
        <v>7122</v>
      </c>
      <c r="H940" t="s">
        <v>26</v>
      </c>
      <c r="I940" t="s">
        <v>26</v>
      </c>
      <c r="J940" t="s">
        <v>26</v>
      </c>
      <c r="K940" t="s">
        <v>7123</v>
      </c>
      <c r="L940" t="s">
        <v>7124</v>
      </c>
      <c r="M940" t="s">
        <v>7125</v>
      </c>
      <c r="N940" t="s">
        <v>26</v>
      </c>
      <c r="O940" t="s">
        <v>26</v>
      </c>
      <c r="P940" t="s">
        <v>26</v>
      </c>
      <c r="Q940" t="s">
        <v>26</v>
      </c>
      <c r="R940" t="s">
        <v>2856</v>
      </c>
      <c r="S940" t="s">
        <v>7126</v>
      </c>
    </row>
    <row r="941" spans="1:19" x14ac:dyDescent="0.2">
      <c r="A941" t="s">
        <v>7127</v>
      </c>
      <c r="B941" t="s">
        <v>26</v>
      </c>
      <c r="C941" t="s">
        <v>7128</v>
      </c>
      <c r="D941" t="s">
        <v>26</v>
      </c>
      <c r="E941" t="s">
        <v>26</v>
      </c>
      <c r="F941" t="s">
        <v>26</v>
      </c>
      <c r="G941" t="s">
        <v>7129</v>
      </c>
      <c r="H941" t="s">
        <v>26</v>
      </c>
      <c r="I941" t="s">
        <v>26</v>
      </c>
      <c r="J941" t="s">
        <v>26</v>
      </c>
      <c r="K941" t="s">
        <v>26</v>
      </c>
      <c r="L941" t="s">
        <v>26</v>
      </c>
      <c r="M941" t="s">
        <v>26</v>
      </c>
      <c r="N941" t="s">
        <v>26</v>
      </c>
      <c r="O941" t="s">
        <v>26</v>
      </c>
      <c r="P941" t="s">
        <v>26</v>
      </c>
      <c r="Q941" t="s">
        <v>26</v>
      </c>
      <c r="R941" t="s">
        <v>2856</v>
      </c>
      <c r="S941" t="s">
        <v>7130</v>
      </c>
    </row>
    <row r="942" spans="1:19" x14ac:dyDescent="0.2">
      <c r="A942" t="s">
        <v>7131</v>
      </c>
      <c r="B942" t="s">
        <v>26</v>
      </c>
      <c r="C942" t="s">
        <v>7132</v>
      </c>
      <c r="D942" t="s">
        <v>26</v>
      </c>
      <c r="E942" t="s">
        <v>26</v>
      </c>
      <c r="F942" t="s">
        <v>26</v>
      </c>
      <c r="G942" t="s">
        <v>7133</v>
      </c>
      <c r="H942" t="s">
        <v>26</v>
      </c>
      <c r="I942" t="s">
        <v>26</v>
      </c>
      <c r="J942" t="s">
        <v>26</v>
      </c>
      <c r="K942" t="s">
        <v>7134</v>
      </c>
      <c r="L942" t="s">
        <v>7135</v>
      </c>
      <c r="M942" t="s">
        <v>7136</v>
      </c>
      <c r="N942" t="s">
        <v>26</v>
      </c>
      <c r="O942" t="s">
        <v>26</v>
      </c>
      <c r="P942" t="s">
        <v>26</v>
      </c>
      <c r="Q942" t="s">
        <v>26</v>
      </c>
      <c r="R942" t="s">
        <v>2856</v>
      </c>
      <c r="S942" t="s">
        <v>7137</v>
      </c>
    </row>
    <row r="943" spans="1:19" x14ac:dyDescent="0.2">
      <c r="A943" t="s">
        <v>7138</v>
      </c>
      <c r="B943" t="s">
        <v>26</v>
      </c>
      <c r="C943" t="s">
        <v>7139</v>
      </c>
      <c r="D943" t="s">
        <v>26</v>
      </c>
      <c r="E943" t="s">
        <v>26</v>
      </c>
      <c r="F943" t="s">
        <v>26</v>
      </c>
      <c r="G943" t="s">
        <v>7140</v>
      </c>
      <c r="H943" t="s">
        <v>26</v>
      </c>
      <c r="I943" t="s">
        <v>26</v>
      </c>
      <c r="J943" t="s">
        <v>26</v>
      </c>
      <c r="K943" t="s">
        <v>7141</v>
      </c>
      <c r="L943" t="s">
        <v>7142</v>
      </c>
      <c r="M943" t="s">
        <v>26</v>
      </c>
      <c r="N943" t="s">
        <v>26</v>
      </c>
      <c r="O943" t="s">
        <v>26</v>
      </c>
      <c r="P943" t="s">
        <v>26</v>
      </c>
      <c r="Q943" t="s">
        <v>26</v>
      </c>
      <c r="R943" t="s">
        <v>2856</v>
      </c>
      <c r="S943" t="s">
        <v>7143</v>
      </c>
    </row>
    <row r="944" spans="1:19" x14ac:dyDescent="0.2">
      <c r="A944" t="s">
        <v>7144</v>
      </c>
      <c r="B944" t="s">
        <v>26</v>
      </c>
      <c r="C944" t="s">
        <v>7145</v>
      </c>
      <c r="D944" t="s">
        <v>26</v>
      </c>
      <c r="E944" t="s">
        <v>26</v>
      </c>
      <c r="F944" t="s">
        <v>26</v>
      </c>
      <c r="G944" t="s">
        <v>7146</v>
      </c>
      <c r="H944" t="s">
        <v>26</v>
      </c>
      <c r="I944" t="s">
        <v>26</v>
      </c>
      <c r="J944" t="s">
        <v>26</v>
      </c>
      <c r="K944" t="s">
        <v>26</v>
      </c>
      <c r="L944" t="s">
        <v>7144</v>
      </c>
      <c r="M944" t="s">
        <v>26</v>
      </c>
      <c r="N944" t="s">
        <v>26</v>
      </c>
      <c r="O944" t="s">
        <v>26</v>
      </c>
      <c r="P944" t="s">
        <v>26</v>
      </c>
      <c r="Q944" t="s">
        <v>26</v>
      </c>
      <c r="R944" t="s">
        <v>2856</v>
      </c>
      <c r="S944" t="s">
        <v>7147</v>
      </c>
    </row>
    <row r="945" spans="1:19" x14ac:dyDescent="0.2">
      <c r="A945" t="s">
        <v>7148</v>
      </c>
      <c r="B945" t="s">
        <v>7148</v>
      </c>
      <c r="C945" t="s">
        <v>7149</v>
      </c>
      <c r="D945" t="s">
        <v>22</v>
      </c>
      <c r="E945" t="b">
        <v>0</v>
      </c>
      <c r="F945" t="s">
        <v>23</v>
      </c>
      <c r="G945" t="s">
        <v>7150</v>
      </c>
      <c r="H945" t="s">
        <v>6320</v>
      </c>
      <c r="I945" t="s">
        <v>26</v>
      </c>
      <c r="J945" t="s">
        <v>27</v>
      </c>
      <c r="K945" t="s">
        <v>7151</v>
      </c>
      <c r="L945" t="s">
        <v>7148</v>
      </c>
      <c r="M945" t="s">
        <v>7152</v>
      </c>
      <c r="N945" t="s">
        <v>26</v>
      </c>
      <c r="O945" t="s">
        <v>26</v>
      </c>
      <c r="P945" t="s">
        <v>7153</v>
      </c>
      <c r="Q945" s="1" t="d">
        <v>1950-11-01</v>
      </c>
      <c r="R945" t="s">
        <v>2917</v>
      </c>
      <c r="S945" t="s">
        <v>7154</v>
      </c>
    </row>
    <row r="946" spans="1:19" x14ac:dyDescent="0.2">
      <c r="A946" t="s">
        <v>7155</v>
      </c>
      <c r="B946" t="s">
        <v>7156</v>
      </c>
      <c r="C946" t="s">
        <v>7157</v>
      </c>
      <c r="D946" t="s">
        <v>22</v>
      </c>
      <c r="E946" t="b">
        <v>0</v>
      </c>
      <c r="F946" t="s">
        <v>26</v>
      </c>
      <c r="G946" t="s">
        <v>7159</v>
      </c>
      <c r="H946" t="s">
        <v>986</v>
      </c>
      <c r="I946" t="s">
        <v>26</v>
      </c>
      <c r="J946" t="s">
        <v>27</v>
      </c>
      <c r="K946" t="s">
        <v>7158</v>
      </c>
      <c r="L946" t="s">
        <v>7160</v>
      </c>
      <c r="M946" t="s">
        <v>7161</v>
      </c>
      <c r="N946" t="s">
        <v>26</v>
      </c>
      <c r="O946" t="s">
        <v>7162</v>
      </c>
      <c r="P946" t="s">
        <v>26</v>
      </c>
      <c r="Q946" s="3" t="d">
        <v>2026-01-10</v>
      </c>
      <c r="R946" t="s">
        <v>3196</v>
      </c>
      <c r="S946" t="s">
        <v>7163</v>
      </c>
    </row>
    <row r="947" spans="1:19" x14ac:dyDescent="0.2">
      <c r="A947" t="s">
        <v>7164</v>
      </c>
      <c r="B947" t="s">
        <v>7164</v>
      </c>
      <c r="C947" t="s">
        <v>7165</v>
      </c>
      <c r="D947" t="s">
        <v>22</v>
      </c>
      <c r="E947" t="b">
        <v>0</v>
      </c>
      <c r="F947" t="s">
        <v>23</v>
      </c>
      <c r="G947" t="s">
        <v>7166</v>
      </c>
      <c r="H947" t="s">
        <v>615</v>
      </c>
      <c r="I947" s="2" t="d">
        <v>2021-01-01</v>
      </c>
      <c r="J947" t="s">
        <v>27</v>
      </c>
      <c r="K947" t="s">
        <v>7167</v>
      </c>
      <c r="L947" t="s">
        <v>7164</v>
      </c>
      <c r="M947" t="s">
        <v>7168</v>
      </c>
      <c r="N947" t="s">
        <v>26</v>
      </c>
      <c r="O947" t="s">
        <v>7169</v>
      </c>
      <c r="P947" t="s">
        <v>7170</v>
      </c>
      <c r="Q947" s="1" t="d">
        <v>1950-11-01</v>
      </c>
      <c r="R947" t="s">
        <v>41</v>
      </c>
      <c r="S947" t="s">
        <v>7171</v>
      </c>
    </row>
    <row r="948" spans="1:19" x14ac:dyDescent="0.2">
      <c r="A948" t="s">
        <v>7172</v>
      </c>
      <c r="B948" t="s">
        <v>26</v>
      </c>
      <c r="C948" t="s">
        <v>7173</v>
      </c>
      <c r="D948" t="s">
        <v>26</v>
      </c>
      <c r="E948" t="s">
        <v>26</v>
      </c>
      <c r="F948" t="s">
        <v>26</v>
      </c>
      <c r="G948" t="s">
        <v>7174</v>
      </c>
      <c r="H948" t="s">
        <v>26</v>
      </c>
      <c r="I948" t="s">
        <v>26</v>
      </c>
      <c r="J948" t="s">
        <v>26</v>
      </c>
      <c r="K948" t="s">
        <v>7175</v>
      </c>
      <c r="L948" t="s">
        <v>7176</v>
      </c>
      <c r="M948" t="s">
        <v>26</v>
      </c>
      <c r="N948" t="s">
        <v>26</v>
      </c>
      <c r="O948" t="s">
        <v>26</v>
      </c>
      <c r="P948" t="s">
        <v>26</v>
      </c>
      <c r="Q948" t="s">
        <v>26</v>
      </c>
      <c r="R948" t="s">
        <v>1578</v>
      </c>
      <c r="S948" t="s">
        <v>7177</v>
      </c>
    </row>
    <row r="949" spans="1:19" x14ac:dyDescent="0.2">
      <c r="A949" t="s">
        <v>7178</v>
      </c>
      <c r="B949" t="s">
        <v>26</v>
      </c>
      <c r="C949" t="s">
        <v>7179</v>
      </c>
      <c r="D949" t="s">
        <v>26</v>
      </c>
      <c r="E949" t="s">
        <v>26</v>
      </c>
      <c r="F949" t="s">
        <v>26</v>
      </c>
      <c r="G949" t="s">
        <v>7180</v>
      </c>
      <c r="H949" t="s">
        <v>26</v>
      </c>
      <c r="I949" t="s">
        <v>26</v>
      </c>
      <c r="J949" t="s">
        <v>26</v>
      </c>
      <c r="K949" t="s">
        <v>7181</v>
      </c>
      <c r="L949" t="s">
        <v>7178</v>
      </c>
      <c r="M949" t="s">
        <v>7182</v>
      </c>
      <c r="N949" t="s">
        <v>26</v>
      </c>
      <c r="O949" t="s">
        <v>26</v>
      </c>
      <c r="P949" t="s">
        <v>26</v>
      </c>
      <c r="Q949" t="s">
        <v>26</v>
      </c>
      <c r="R949" t="s">
        <v>1578</v>
      </c>
      <c r="S949" t="s">
        <v>7183</v>
      </c>
    </row>
    <row r="950" spans="1:19" x14ac:dyDescent="0.2">
      <c r="A950" t="s">
        <v>7184</v>
      </c>
      <c r="B950" t="s">
        <v>26</v>
      </c>
      <c r="C950" t="s">
        <v>7185</v>
      </c>
      <c r="D950" t="s">
        <v>26</v>
      </c>
      <c r="E950" t="s">
        <v>26</v>
      </c>
      <c r="F950" t="s">
        <v>26</v>
      </c>
      <c r="G950" t="s">
        <v>7186</v>
      </c>
      <c r="H950" t="s">
        <v>26</v>
      </c>
      <c r="I950" t="s">
        <v>26</v>
      </c>
      <c r="J950" t="s">
        <v>26</v>
      </c>
      <c r="K950" t="s">
        <v>26</v>
      </c>
      <c r="L950" t="s">
        <v>26</v>
      </c>
      <c r="M950" t="s">
        <v>26</v>
      </c>
      <c r="N950" t="s">
        <v>26</v>
      </c>
      <c r="O950" t="s">
        <v>26</v>
      </c>
      <c r="P950" t="s">
        <v>26</v>
      </c>
      <c r="Q950" t="s">
        <v>26</v>
      </c>
      <c r="R950" t="s">
        <v>1578</v>
      </c>
      <c r="S950" t="s">
        <v>7187</v>
      </c>
    </row>
    <row r="951" spans="1:19" x14ac:dyDescent="0.2">
      <c r="A951" t="s">
        <v>7188</v>
      </c>
      <c r="B951" t="s">
        <v>26</v>
      </c>
      <c r="C951" t="s">
        <v>7189</v>
      </c>
      <c r="D951" t="s">
        <v>26</v>
      </c>
      <c r="E951" t="s">
        <v>26</v>
      </c>
      <c r="F951" t="s">
        <v>26</v>
      </c>
      <c r="G951" t="s">
        <v>7190</v>
      </c>
      <c r="H951" t="s">
        <v>26</v>
      </c>
      <c r="I951" t="s">
        <v>26</v>
      </c>
      <c r="J951" t="s">
        <v>26</v>
      </c>
      <c r="K951" t="s">
        <v>7191</v>
      </c>
      <c r="L951" t="s">
        <v>7192</v>
      </c>
      <c r="M951" t="s">
        <v>7193</v>
      </c>
      <c r="N951" t="s">
        <v>26</v>
      </c>
      <c r="O951" t="s">
        <v>26</v>
      </c>
      <c r="P951" t="s">
        <v>26</v>
      </c>
      <c r="Q951" t="s">
        <v>26</v>
      </c>
      <c r="R951" t="s">
        <v>7194</v>
      </c>
      <c r="S951" t="s">
        <v>7195</v>
      </c>
    </row>
    <row r="952" spans="1:19" x14ac:dyDescent="0.2">
      <c r="A952" t="s">
        <v>7196</v>
      </c>
      <c r="B952" t="s">
        <v>26</v>
      </c>
      <c r="C952" t="s">
        <v>7197</v>
      </c>
      <c r="D952" t="s">
        <v>26</v>
      </c>
      <c r="E952" t="s">
        <v>26</v>
      </c>
      <c r="F952" t="s">
        <v>26</v>
      </c>
      <c r="G952" t="s">
        <v>7198</v>
      </c>
      <c r="H952" t="s">
        <v>26</v>
      </c>
      <c r="I952" t="s">
        <v>26</v>
      </c>
      <c r="J952" t="s">
        <v>26</v>
      </c>
      <c r="K952" t="s">
        <v>26</v>
      </c>
      <c r="L952" t="s">
        <v>26</v>
      </c>
      <c r="M952" t="s">
        <v>26</v>
      </c>
      <c r="N952" t="s">
        <v>26</v>
      </c>
      <c r="O952" t="s">
        <v>26</v>
      </c>
      <c r="P952" t="s">
        <v>26</v>
      </c>
      <c r="Q952" t="s">
        <v>26</v>
      </c>
      <c r="R952" t="s">
        <v>1578</v>
      </c>
      <c r="S952" t="s">
        <v>7199</v>
      </c>
    </row>
    <row r="953" spans="1:19" x14ac:dyDescent="0.2">
      <c r="A953" t="s">
        <v>7200</v>
      </c>
      <c r="B953" t="s">
        <v>26</v>
      </c>
      <c r="C953" t="s">
        <v>7201</v>
      </c>
      <c r="D953" t="s">
        <v>26</v>
      </c>
      <c r="E953" t="s">
        <v>26</v>
      </c>
      <c r="F953" t="s">
        <v>26</v>
      </c>
      <c r="G953" t="s">
        <v>7202</v>
      </c>
      <c r="H953" t="s">
        <v>26</v>
      </c>
      <c r="I953" t="s">
        <v>26</v>
      </c>
      <c r="J953" t="s">
        <v>26</v>
      </c>
      <c r="K953" t="s">
        <v>26</v>
      </c>
      <c r="L953" t="s">
        <v>7200</v>
      </c>
      <c r="M953" t="s">
        <v>26</v>
      </c>
      <c r="N953" t="s">
        <v>26</v>
      </c>
      <c r="O953" t="s">
        <v>26</v>
      </c>
      <c r="P953" t="s">
        <v>26</v>
      </c>
      <c r="Q953" t="s">
        <v>26</v>
      </c>
      <c r="R953" t="s">
        <v>1578</v>
      </c>
      <c r="S953" t="s">
        <v>7203</v>
      </c>
    </row>
    <row r="954" spans="1:19" x14ac:dyDescent="0.2">
      <c r="A954" t="s">
        <v>7204</v>
      </c>
      <c r="B954" t="s">
        <v>26</v>
      </c>
      <c r="C954" t="s">
        <v>7205</v>
      </c>
      <c r="D954" t="s">
        <v>26</v>
      </c>
      <c r="E954" t="s">
        <v>26</v>
      </c>
      <c r="F954" t="s">
        <v>26</v>
      </c>
      <c r="G954" t="s">
        <v>7206</v>
      </c>
      <c r="H954" t="s">
        <v>26</v>
      </c>
      <c r="I954" t="s">
        <v>26</v>
      </c>
      <c r="J954" t="s">
        <v>26</v>
      </c>
      <c r="K954" t="s">
        <v>7207</v>
      </c>
      <c r="L954" t="s">
        <v>26</v>
      </c>
      <c r="M954" t="s">
        <v>26</v>
      </c>
      <c r="N954" t="s">
        <v>26</v>
      </c>
      <c r="O954" t="s">
        <v>26</v>
      </c>
      <c r="P954" t="s">
        <v>26</v>
      </c>
      <c r="Q954" t="s">
        <v>26</v>
      </c>
      <c r="R954" t="s">
        <v>1578</v>
      </c>
      <c r="S954" t="s">
        <v>7208</v>
      </c>
    </row>
    <row r="955" spans="1:19" x14ac:dyDescent="0.2">
      <c r="A955" t="s">
        <v>7209</v>
      </c>
      <c r="B955" t="s">
        <v>7209</v>
      </c>
      <c r="C955" t="s">
        <v>7210</v>
      </c>
      <c r="D955" t="s">
        <v>22</v>
      </c>
      <c r="E955" t="b">
        <v>0</v>
      </c>
      <c r="F955" t="s">
        <v>23</v>
      </c>
      <c r="G955" t="s">
        <v>7211</v>
      </c>
      <c r="H955" t="s">
        <v>998</v>
      </c>
      <c r="I955" t="s">
        <v>26</v>
      </c>
      <c r="J955" t="s">
        <v>27</v>
      </c>
      <c r="K955" t="s">
        <v>7212</v>
      </c>
      <c r="L955" t="s">
        <v>7209</v>
      </c>
      <c r="M955" t="s">
        <v>7213</v>
      </c>
      <c r="N955" t="s">
        <v>26</v>
      </c>
      <c r="O955" t="s">
        <v>7214</v>
      </c>
      <c r="P955" t="s">
        <v>26</v>
      </c>
      <c r="Q955" s="3" t="d">
        <v>2026-01-10</v>
      </c>
      <c r="R955" t="s">
        <v>1235</v>
      </c>
      <c r="S955" t="s">
        <v>7215</v>
      </c>
    </row>
    <row r="956" spans="1:19" x14ac:dyDescent="0.2">
      <c r="A956" t="s">
        <v>7216</v>
      </c>
      <c r="B956" t="s">
        <v>26</v>
      </c>
      <c r="C956" t="s">
        <v>7217</v>
      </c>
      <c r="D956" t="s">
        <v>26</v>
      </c>
      <c r="E956" t="s">
        <v>26</v>
      </c>
      <c r="F956" t="s">
        <v>26</v>
      </c>
      <c r="G956" t="s">
        <v>7218</v>
      </c>
      <c r="H956" t="s">
        <v>26</v>
      </c>
      <c r="I956" t="s">
        <v>26</v>
      </c>
      <c r="J956" t="s">
        <v>26</v>
      </c>
      <c r="K956" t="s">
        <v>7219</v>
      </c>
      <c r="L956" t="s">
        <v>7220</v>
      </c>
      <c r="M956" t="s">
        <v>7221</v>
      </c>
      <c r="N956" t="s">
        <v>26</v>
      </c>
      <c r="O956" t="s">
        <v>26</v>
      </c>
      <c r="P956" t="s">
        <v>26</v>
      </c>
      <c r="Q956" t="s">
        <v>26</v>
      </c>
      <c r="R956" t="s">
        <v>4166</v>
      </c>
      <c r="S956" t="s">
        <v>7222</v>
      </c>
    </row>
    <row r="957" spans="1:19" x14ac:dyDescent="0.2">
      <c r="A957" t="s">
        <v>7223</v>
      </c>
      <c r="B957" t="s">
        <v>7223</v>
      </c>
      <c r="C957" t="s">
        <v>7224</v>
      </c>
      <c r="D957" t="s">
        <v>22</v>
      </c>
      <c r="E957" t="b">
        <v>0</v>
      </c>
      <c r="F957" t="s">
        <v>23</v>
      </c>
      <c r="G957" t="s">
        <v>7225</v>
      </c>
      <c r="H957" t="s">
        <v>4332</v>
      </c>
      <c r="I957" t="s">
        <v>26</v>
      </c>
      <c r="J957" t="s">
        <v>27</v>
      </c>
      <c r="K957" t="s">
        <v>7226</v>
      </c>
      <c r="L957" t="s">
        <v>26</v>
      </c>
      <c r="M957" t="s">
        <v>7227</v>
      </c>
      <c r="N957" t="s">
        <v>26</v>
      </c>
      <c r="O957" t="s">
        <v>7228</v>
      </c>
      <c r="P957" t="s">
        <v>7229</v>
      </c>
      <c r="Q957" t="s">
        <v>26</v>
      </c>
      <c r="R957" t="s">
        <v>6352</v>
      </c>
      <c r="S957" t="s">
        <v>7230</v>
      </c>
    </row>
    <row r="958" spans="1:19" x14ac:dyDescent="0.2">
      <c r="A958" t="s">
        <v>7231</v>
      </c>
      <c r="B958" t="s">
        <v>7231</v>
      </c>
      <c r="C958" t="s">
        <v>7232</v>
      </c>
      <c r="D958" t="s">
        <v>22</v>
      </c>
      <c r="E958" t="b">
        <v>0</v>
      </c>
      <c r="F958" t="s">
        <v>23</v>
      </c>
      <c r="G958" t="s">
        <v>7233</v>
      </c>
      <c r="H958" t="s">
        <v>5648</v>
      </c>
      <c r="I958" s="2" t="d">
        <v>2016-01-01</v>
      </c>
      <c r="J958" t="s">
        <v>27</v>
      </c>
      <c r="K958" t="s">
        <v>7234</v>
      </c>
      <c r="L958" t="s">
        <v>7231</v>
      </c>
      <c r="M958" t="s">
        <v>7235</v>
      </c>
      <c r="N958" t="s">
        <v>26</v>
      </c>
      <c r="O958" t="s">
        <v>7236</v>
      </c>
      <c r="P958" t="s">
        <v>7237</v>
      </c>
      <c r="Q958" s="1" t="d">
        <v>1950-11-01</v>
      </c>
      <c r="R958" t="s">
        <v>41</v>
      </c>
      <c r="S958" t="s">
        <v>7238</v>
      </c>
    </row>
    <row r="959" spans="1:19" x14ac:dyDescent="0.2">
      <c r="A959" t="s">
        <v>7239</v>
      </c>
      <c r="B959" t="s">
        <v>26</v>
      </c>
      <c r="C959" t="s">
        <v>7240</v>
      </c>
      <c r="D959" t="s">
        <v>26</v>
      </c>
      <c r="E959" t="s">
        <v>26</v>
      </c>
      <c r="F959" t="s">
        <v>26</v>
      </c>
      <c r="G959" t="s">
        <v>7241</v>
      </c>
      <c r="H959" t="s">
        <v>26</v>
      </c>
      <c r="I959" t="s">
        <v>26</v>
      </c>
      <c r="J959" t="s">
        <v>26</v>
      </c>
      <c r="K959" t="s">
        <v>26</v>
      </c>
      <c r="L959" t="s">
        <v>7242</v>
      </c>
      <c r="M959" t="s">
        <v>26</v>
      </c>
      <c r="N959" t="s">
        <v>26</v>
      </c>
      <c r="O959" t="s">
        <v>26</v>
      </c>
      <c r="P959" t="s">
        <v>26</v>
      </c>
      <c r="Q959" t="s">
        <v>26</v>
      </c>
      <c r="R959" t="s">
        <v>7243</v>
      </c>
      <c r="S959" t="s">
        <v>7244</v>
      </c>
    </row>
    <row r="960" spans="1:19" x14ac:dyDescent="0.2">
      <c r="A960" t="s">
        <v>7245</v>
      </c>
      <c r="B960" t="s">
        <v>26</v>
      </c>
      <c r="C960" t="s">
        <v>7246</v>
      </c>
      <c r="D960" t="s">
        <v>26</v>
      </c>
      <c r="E960" t="s">
        <v>26</v>
      </c>
      <c r="F960" t="s">
        <v>26</v>
      </c>
      <c r="G960" t="s">
        <v>7247</v>
      </c>
      <c r="H960" t="s">
        <v>26</v>
      </c>
      <c r="I960" t="s">
        <v>26</v>
      </c>
      <c r="J960" t="s">
        <v>26</v>
      </c>
      <c r="K960" t="s">
        <v>26</v>
      </c>
      <c r="L960" t="s">
        <v>7245</v>
      </c>
      <c r="M960" t="s">
        <v>26</v>
      </c>
      <c r="N960" t="s">
        <v>26</v>
      </c>
      <c r="O960" t="s">
        <v>26</v>
      </c>
      <c r="P960" t="s">
        <v>26</v>
      </c>
      <c r="Q960" t="s">
        <v>26</v>
      </c>
      <c r="R960" t="s">
        <v>580</v>
      </c>
      <c r="S960" t="s">
        <v>7248</v>
      </c>
    </row>
    <row r="961" spans="1:19" x14ac:dyDescent="0.2">
      <c r="A961" t="s">
        <v>7249</v>
      </c>
      <c r="B961" t="s">
        <v>26</v>
      </c>
      <c r="C961" t="s">
        <v>7250</v>
      </c>
      <c r="D961" t="s">
        <v>26</v>
      </c>
      <c r="E961" t="s">
        <v>26</v>
      </c>
      <c r="F961" t="s">
        <v>26</v>
      </c>
      <c r="G961" t="s">
        <v>7251</v>
      </c>
      <c r="H961" t="s">
        <v>26</v>
      </c>
      <c r="I961" t="s">
        <v>26</v>
      </c>
      <c r="J961" t="s">
        <v>26</v>
      </c>
      <c r="K961" t="s">
        <v>7252</v>
      </c>
      <c r="L961" t="s">
        <v>7253</v>
      </c>
      <c r="M961" t="s">
        <v>7254</v>
      </c>
      <c r="N961" t="s">
        <v>26</v>
      </c>
      <c r="O961" t="s">
        <v>26</v>
      </c>
      <c r="P961" t="s">
        <v>26</v>
      </c>
      <c r="Q961" t="s">
        <v>26</v>
      </c>
      <c r="R961" t="s">
        <v>580</v>
      </c>
      <c r="S961" t="s">
        <v>7255</v>
      </c>
    </row>
    <row r="962" spans="1:19" x14ac:dyDescent="0.2">
      <c r="A962" t="s">
        <v>7256</v>
      </c>
      <c r="B962" t="s">
        <v>26</v>
      </c>
      <c r="C962" t="s">
        <v>7257</v>
      </c>
      <c r="D962" t="s">
        <v>26</v>
      </c>
      <c r="E962" t="s">
        <v>26</v>
      </c>
      <c r="F962" t="s">
        <v>26</v>
      </c>
      <c r="G962" t="s">
        <v>7258</v>
      </c>
      <c r="H962" t="s">
        <v>26</v>
      </c>
      <c r="I962" t="s">
        <v>26</v>
      </c>
      <c r="J962" t="s">
        <v>26</v>
      </c>
      <c r="K962" t="s">
        <v>7259</v>
      </c>
      <c r="L962" t="s">
        <v>7256</v>
      </c>
      <c r="M962" t="s">
        <v>26</v>
      </c>
      <c r="N962" t="s">
        <v>26</v>
      </c>
      <c r="O962" t="s">
        <v>26</v>
      </c>
      <c r="P962" t="s">
        <v>26</v>
      </c>
      <c r="Q962" t="s">
        <v>26</v>
      </c>
      <c r="R962" t="s">
        <v>580</v>
      </c>
      <c r="S962" t="s">
        <v>7260</v>
      </c>
    </row>
    <row r="963" spans="1:19" x14ac:dyDescent="0.2">
      <c r="A963" t="s">
        <v>7261</v>
      </c>
      <c r="B963" t="s">
        <v>26</v>
      </c>
      <c r="C963" t="s">
        <v>7262</v>
      </c>
      <c r="D963" t="s">
        <v>26</v>
      </c>
      <c r="E963" t="s">
        <v>26</v>
      </c>
      <c r="F963" t="s">
        <v>26</v>
      </c>
      <c r="G963" t="s">
        <v>7263</v>
      </c>
      <c r="H963" t="s">
        <v>26</v>
      </c>
      <c r="I963" t="s">
        <v>26</v>
      </c>
      <c r="J963" t="s">
        <v>26</v>
      </c>
      <c r="K963" t="s">
        <v>7264</v>
      </c>
      <c r="L963" t="s">
        <v>7265</v>
      </c>
      <c r="M963" t="s">
        <v>7266</v>
      </c>
      <c r="N963" t="s">
        <v>26</v>
      </c>
      <c r="O963" t="s">
        <v>26</v>
      </c>
      <c r="P963" t="s">
        <v>26</v>
      </c>
      <c r="Q963" t="s">
        <v>26</v>
      </c>
      <c r="R963" t="s">
        <v>7267</v>
      </c>
      <c r="S963" t="s">
        <v>7268</v>
      </c>
    </row>
    <row r="964" spans="1:19" x14ac:dyDescent="0.2">
      <c r="A964" t="s">
        <v>7269</v>
      </c>
      <c r="B964" t="s">
        <v>26</v>
      </c>
      <c r="C964" t="s">
        <v>7270</v>
      </c>
      <c r="D964" t="s">
        <v>26</v>
      </c>
      <c r="E964" t="s">
        <v>26</v>
      </c>
      <c r="F964" t="s">
        <v>26</v>
      </c>
      <c r="G964" t="s">
        <v>7271</v>
      </c>
      <c r="H964" t="s">
        <v>26</v>
      </c>
      <c r="I964" t="s">
        <v>26</v>
      </c>
      <c r="J964" t="s">
        <v>26</v>
      </c>
      <c r="K964" t="s">
        <v>7272</v>
      </c>
      <c r="L964" t="s">
        <v>26</v>
      </c>
      <c r="M964" t="s">
        <v>7273</v>
      </c>
      <c r="N964" t="s">
        <v>26</v>
      </c>
      <c r="O964" t="s">
        <v>26</v>
      </c>
      <c r="P964" t="s">
        <v>26</v>
      </c>
      <c r="Q964" t="s">
        <v>26</v>
      </c>
      <c r="R964" t="s">
        <v>580</v>
      </c>
      <c r="S964" t="s">
        <v>7274</v>
      </c>
    </row>
    <row r="965" spans="1:19" x14ac:dyDescent="0.2">
      <c r="A965" t="s">
        <v>7275</v>
      </c>
      <c r="B965" t="s">
        <v>26</v>
      </c>
      <c r="C965" t="s">
        <v>7276</v>
      </c>
      <c r="D965" t="s">
        <v>26</v>
      </c>
      <c r="E965" t="s">
        <v>26</v>
      </c>
      <c r="F965" t="s">
        <v>26</v>
      </c>
      <c r="G965" t="s">
        <v>7277</v>
      </c>
      <c r="H965" t="s">
        <v>26</v>
      </c>
      <c r="I965" t="s">
        <v>26</v>
      </c>
      <c r="J965" t="s">
        <v>26</v>
      </c>
      <c r="K965" t="s">
        <v>7278</v>
      </c>
      <c r="L965" t="s">
        <v>7279</v>
      </c>
      <c r="M965" t="s">
        <v>26</v>
      </c>
      <c r="N965" t="s">
        <v>26</v>
      </c>
      <c r="O965" t="s">
        <v>26</v>
      </c>
      <c r="P965" t="s">
        <v>26</v>
      </c>
      <c r="Q965" t="s">
        <v>26</v>
      </c>
      <c r="R965" t="s">
        <v>580</v>
      </c>
      <c r="S965" t="s">
        <v>7280</v>
      </c>
    </row>
    <row r="966" spans="1:19" x14ac:dyDescent="0.2">
      <c r="A966" t="s">
        <v>7281</v>
      </c>
      <c r="B966" t="s">
        <v>26</v>
      </c>
      <c r="C966" t="s">
        <v>7282</v>
      </c>
      <c r="D966" t="s">
        <v>26</v>
      </c>
      <c r="E966" t="s">
        <v>26</v>
      </c>
      <c r="F966" t="s">
        <v>26</v>
      </c>
      <c r="G966" t="s">
        <v>7283</v>
      </c>
      <c r="H966" t="s">
        <v>26</v>
      </c>
      <c r="I966" t="s">
        <v>26</v>
      </c>
      <c r="J966" t="s">
        <v>26</v>
      </c>
      <c r="K966" t="s">
        <v>7284</v>
      </c>
      <c r="L966" t="s">
        <v>7281</v>
      </c>
      <c r="M966" t="s">
        <v>26</v>
      </c>
      <c r="N966" t="s">
        <v>26</v>
      </c>
      <c r="O966" t="s">
        <v>26</v>
      </c>
      <c r="P966" t="s">
        <v>26</v>
      </c>
      <c r="Q966" t="s">
        <v>26</v>
      </c>
      <c r="R966" t="s">
        <v>580</v>
      </c>
      <c r="S966" t="s">
        <v>7285</v>
      </c>
    </row>
    <row r="967" spans="1:19" x14ac:dyDescent="0.2">
      <c r="A967" t="s">
        <v>7286</v>
      </c>
      <c r="B967" t="s">
        <v>26</v>
      </c>
      <c r="C967" t="s">
        <v>7287</v>
      </c>
      <c r="D967" t="s">
        <v>26</v>
      </c>
      <c r="E967" t="s">
        <v>26</v>
      </c>
      <c r="F967" t="s">
        <v>26</v>
      </c>
      <c r="G967" t="s">
        <v>7288</v>
      </c>
      <c r="H967" t="s">
        <v>26</v>
      </c>
      <c r="I967" t="s">
        <v>26</v>
      </c>
      <c r="J967" t="s">
        <v>26</v>
      </c>
      <c r="K967" t="s">
        <v>7289</v>
      </c>
      <c r="L967" t="s">
        <v>7290</v>
      </c>
      <c r="M967" t="s">
        <v>26</v>
      </c>
      <c r="N967" t="s">
        <v>26</v>
      </c>
      <c r="O967" t="s">
        <v>26</v>
      </c>
      <c r="P967" t="s">
        <v>26</v>
      </c>
      <c r="Q967" t="s">
        <v>26</v>
      </c>
      <c r="R967" t="s">
        <v>7243</v>
      </c>
      <c r="S967" t="s">
        <v>7291</v>
      </c>
    </row>
    <row r="968" spans="1:19" x14ac:dyDescent="0.2">
      <c r="A968" t="s">
        <v>7292</v>
      </c>
      <c r="B968" t="s">
        <v>26</v>
      </c>
      <c r="C968" t="s">
        <v>7293</v>
      </c>
      <c r="D968" t="s">
        <v>26</v>
      </c>
      <c r="E968" t="s">
        <v>26</v>
      </c>
      <c r="F968" t="s">
        <v>26</v>
      </c>
      <c r="G968" t="s">
        <v>7294</v>
      </c>
      <c r="H968" t="s">
        <v>26</v>
      </c>
      <c r="I968" t="s">
        <v>26</v>
      </c>
      <c r="J968" t="s">
        <v>26</v>
      </c>
      <c r="K968" t="s">
        <v>26</v>
      </c>
      <c r="L968" t="s">
        <v>26</v>
      </c>
      <c r="M968" t="s">
        <v>26</v>
      </c>
      <c r="N968" t="s">
        <v>26</v>
      </c>
      <c r="O968" t="s">
        <v>26</v>
      </c>
      <c r="P968" t="s">
        <v>26</v>
      </c>
      <c r="Q968" t="s">
        <v>26</v>
      </c>
      <c r="R968" t="s">
        <v>580</v>
      </c>
      <c r="S968" t="s">
        <v>7295</v>
      </c>
    </row>
    <row r="969" spans="1:19" x14ac:dyDescent="0.2">
      <c r="A969" t="s">
        <v>7296</v>
      </c>
      <c r="B969" t="s">
        <v>7297</v>
      </c>
      <c r="C969" t="s">
        <v>7298</v>
      </c>
      <c r="D969" t="s">
        <v>22</v>
      </c>
      <c r="E969" t="b">
        <v>0</v>
      </c>
      <c r="F969" t="s">
        <v>23</v>
      </c>
      <c r="G969" t="s">
        <v>7299</v>
      </c>
      <c r="H969" t="s">
        <v>737</v>
      </c>
      <c r="I969" s="2" t="d">
        <v>2023-01-01</v>
      </c>
      <c r="J969" t="s">
        <v>27</v>
      </c>
      <c r="K969" t="s">
        <v>7300</v>
      </c>
      <c r="L969" t="s">
        <v>7296</v>
      </c>
      <c r="M969" t="s">
        <v>7301</v>
      </c>
      <c r="N969" t="s">
        <v>26</v>
      </c>
      <c r="O969" t="s">
        <v>7302</v>
      </c>
      <c r="P969" t="s">
        <v>7303</v>
      </c>
      <c r="Q969" s="1" t="d">
        <v>1950-11-01</v>
      </c>
      <c r="R969" t="s">
        <v>3541</v>
      </c>
      <c r="S969" t="s">
        <v>7304</v>
      </c>
    </row>
    <row r="970" spans="1:19" x14ac:dyDescent="0.2">
      <c r="A970" t="s">
        <v>7305</v>
      </c>
      <c r="B970" t="s">
        <v>26</v>
      </c>
      <c r="C970" t="s">
        <v>7306</v>
      </c>
      <c r="D970" t="s">
        <v>26</v>
      </c>
      <c r="E970" t="s">
        <v>26</v>
      </c>
      <c r="F970" t="s">
        <v>26</v>
      </c>
      <c r="G970" t="s">
        <v>7307</v>
      </c>
      <c r="H970" t="s">
        <v>26</v>
      </c>
      <c r="I970" t="s">
        <v>26</v>
      </c>
      <c r="J970" t="s">
        <v>26</v>
      </c>
      <c r="K970" t="s">
        <v>7308</v>
      </c>
      <c r="L970" t="s">
        <v>7305</v>
      </c>
      <c r="M970" t="s">
        <v>26</v>
      </c>
      <c r="N970" t="s">
        <v>26</v>
      </c>
      <c r="O970" t="s">
        <v>26</v>
      </c>
      <c r="P970" t="s">
        <v>26</v>
      </c>
      <c r="Q970" t="s">
        <v>26</v>
      </c>
      <c r="R970" t="s">
        <v>7309</v>
      </c>
      <c r="S970" t="s">
        <v>7310</v>
      </c>
    </row>
    <row r="971" spans="1:19" x14ac:dyDescent="0.2">
      <c r="A971" t="s">
        <v>7311</v>
      </c>
      <c r="B971" t="s">
        <v>7312</v>
      </c>
      <c r="C971" t="s">
        <v>7313</v>
      </c>
      <c r="D971" t="s">
        <v>22</v>
      </c>
      <c r="E971" t="b">
        <v>0</v>
      </c>
      <c r="F971" t="s">
        <v>23</v>
      </c>
      <c r="G971" t="s">
        <v>7314</v>
      </c>
      <c r="H971" t="s">
        <v>737</v>
      </c>
      <c r="I971" t="s">
        <v>26</v>
      </c>
      <c r="J971" t="s">
        <v>27</v>
      </c>
      <c r="K971" t="s">
        <v>7315</v>
      </c>
      <c r="L971" t="s">
        <v>7316</v>
      </c>
      <c r="M971" t="s">
        <v>7317</v>
      </c>
      <c r="N971" t="s">
        <v>26</v>
      </c>
      <c r="O971" t="s">
        <v>7318</v>
      </c>
      <c r="P971" t="s">
        <v>26</v>
      </c>
      <c r="Q971" s="1" t="d">
        <v>1950-11-01</v>
      </c>
      <c r="R971" t="s">
        <v>7319</v>
      </c>
      <c r="S971" t="s">
        <v>7320</v>
      </c>
    </row>
    <row r="972" spans="1:19" x14ac:dyDescent="0.2">
      <c r="A972" t="s">
        <v>7321</v>
      </c>
      <c r="B972" t="s">
        <v>7322</v>
      </c>
      <c r="C972" t="s">
        <v>7323</v>
      </c>
      <c r="D972" t="s">
        <v>22</v>
      </c>
      <c r="E972" t="b">
        <v>0</v>
      </c>
      <c r="F972" t="s">
        <v>23</v>
      </c>
      <c r="G972" t="s">
        <v>7324</v>
      </c>
      <c r="H972" t="s">
        <v>67</v>
      </c>
      <c r="I972" s="2" t="d">
        <v>2023-06-16</v>
      </c>
      <c r="J972" t="s">
        <v>27</v>
      </c>
      <c r="K972" t="s">
        <v>7325</v>
      </c>
      <c r="L972" t="s">
        <v>7326</v>
      </c>
      <c r="M972" t="s">
        <v>7327</v>
      </c>
      <c r="N972" t="s">
        <v>26</v>
      </c>
      <c r="O972" t="s">
        <v>7328</v>
      </c>
      <c r="P972" t="s">
        <v>26</v>
      </c>
      <c r="Q972" s="1" t="d">
        <v>1950-11-01</v>
      </c>
      <c r="R972" t="s">
        <v>41</v>
      </c>
      <c r="S972" t="s">
        <v>7329</v>
      </c>
    </row>
    <row r="973" spans="1:19" x14ac:dyDescent="0.2">
      <c r="A973" t="s">
        <v>7330</v>
      </c>
      <c r="B973" t="s">
        <v>7330</v>
      </c>
      <c r="C973" t="s">
        <v>7331</v>
      </c>
      <c r="D973" t="s">
        <v>22</v>
      </c>
      <c r="E973" t="b">
        <v>0</v>
      </c>
      <c r="F973" t="s">
        <v>23</v>
      </c>
      <c r="G973" t="s">
        <v>7332</v>
      </c>
      <c r="H973" t="s">
        <v>7333</v>
      </c>
      <c r="I973" t="s">
        <v>26</v>
      </c>
      <c r="J973" t="s">
        <v>27</v>
      </c>
      <c r="K973" t="s">
        <v>7334</v>
      </c>
      <c r="L973" t="s">
        <v>26</v>
      </c>
      <c r="M973" t="s">
        <v>7335</v>
      </c>
      <c r="N973" t="s">
        <v>26</v>
      </c>
      <c r="O973" t="s">
        <v>7336</v>
      </c>
      <c r="P973" t="s">
        <v>26</v>
      </c>
      <c r="Q973" s="1" t="d">
        <v>1950-11-01</v>
      </c>
      <c r="R973" t="s">
        <v>2753</v>
      </c>
      <c r="S973" t="s">
        <v>7337</v>
      </c>
    </row>
    <row r="974" spans="1:19" x14ac:dyDescent="0.2">
      <c r="A974" t="s">
        <v>7338</v>
      </c>
      <c r="B974" t="s">
        <v>26</v>
      </c>
      <c r="C974" t="s">
        <v>7339</v>
      </c>
      <c r="D974" t="s">
        <v>26</v>
      </c>
      <c r="E974" t="s">
        <v>26</v>
      </c>
      <c r="F974" t="s">
        <v>26</v>
      </c>
      <c r="G974" t="s">
        <v>7340</v>
      </c>
      <c r="H974" t="s">
        <v>26</v>
      </c>
      <c r="I974" t="s">
        <v>26</v>
      </c>
      <c r="J974" t="s">
        <v>26</v>
      </c>
      <c r="K974" t="s">
        <v>7341</v>
      </c>
      <c r="L974" t="s">
        <v>7342</v>
      </c>
      <c r="M974" t="s">
        <v>26</v>
      </c>
      <c r="N974" t="s">
        <v>26</v>
      </c>
      <c r="O974" t="s">
        <v>26</v>
      </c>
      <c r="P974" t="s">
        <v>26</v>
      </c>
      <c r="Q974" t="s">
        <v>26</v>
      </c>
      <c r="R974" t="s">
        <v>7343</v>
      </c>
      <c r="S974" t="s">
        <v>7344</v>
      </c>
    </row>
    <row r="975" spans="1:19" x14ac:dyDescent="0.2">
      <c r="A975" t="s">
        <v>7345</v>
      </c>
      <c r="B975" t="s">
        <v>7346</v>
      </c>
      <c r="C975" t="s">
        <v>7347</v>
      </c>
      <c r="D975" t="s">
        <v>22</v>
      </c>
      <c r="E975" t="b">
        <v>0</v>
      </c>
      <c r="F975" t="s">
        <v>23</v>
      </c>
      <c r="G975" t="s">
        <v>7348</v>
      </c>
      <c r="H975" t="s">
        <v>2757</v>
      </c>
      <c r="I975" t="s">
        <v>26</v>
      </c>
      <c r="J975" t="s">
        <v>27</v>
      </c>
      <c r="K975" t="s">
        <v>7349</v>
      </c>
      <c r="L975" t="s">
        <v>7350</v>
      </c>
      <c r="M975" t="s">
        <v>7351</v>
      </c>
      <c r="N975" t="s">
        <v>26</v>
      </c>
      <c r="O975" t="s">
        <v>7352</v>
      </c>
      <c r="P975" t="s">
        <v>26</v>
      </c>
      <c r="Q975" t="s">
        <v>218</v>
      </c>
      <c r="R975" t="s">
        <v>7353</v>
      </c>
      <c r="S975" t="s">
        <v>7354</v>
      </c>
    </row>
    <row r="976" spans="1:19" x14ac:dyDescent="0.2">
      <c r="A976" t="s">
        <v>7355</v>
      </c>
      <c r="B976" t="s">
        <v>7356</v>
      </c>
      <c r="C976" t="s">
        <v>7357</v>
      </c>
      <c r="D976" t="s">
        <v>22</v>
      </c>
      <c r="E976" t="b">
        <v>0</v>
      </c>
      <c r="F976" t="s">
        <v>23</v>
      </c>
      <c r="G976" t="s">
        <v>7358</v>
      </c>
      <c r="H976" t="s">
        <v>7359</v>
      </c>
      <c r="I976" t="s">
        <v>26</v>
      </c>
      <c r="J976" t="s">
        <v>27</v>
      </c>
      <c r="K976" t="s">
        <v>7360</v>
      </c>
      <c r="L976" t="s">
        <v>7361</v>
      </c>
      <c r="M976" t="s">
        <v>7362</v>
      </c>
      <c r="N976" t="s">
        <v>26</v>
      </c>
      <c r="O976" t="s">
        <v>7363</v>
      </c>
      <c r="P976" t="s">
        <v>7364</v>
      </c>
      <c r="Q976" s="3" t="d">
        <v>2026-01-10</v>
      </c>
      <c r="R976" t="s">
        <v>31</v>
      </c>
      <c r="S976" t="s">
        <v>7365</v>
      </c>
    </row>
    <row r="977" spans="1:19" x14ac:dyDescent="0.2">
      <c r="A977" t="s">
        <v>7366</v>
      </c>
      <c r="B977" t="s">
        <v>7366</v>
      </c>
      <c r="C977" t="s">
        <v>7367</v>
      </c>
      <c r="D977" t="s">
        <v>22</v>
      </c>
      <c r="E977" t="b">
        <v>0</v>
      </c>
      <c r="F977" t="s">
        <v>23</v>
      </c>
      <c r="G977" t="s">
        <v>7368</v>
      </c>
      <c r="H977" t="s">
        <v>339</v>
      </c>
      <c r="I977" t="s">
        <v>26</v>
      </c>
      <c r="J977" t="s">
        <v>27</v>
      </c>
      <c r="K977" t="s">
        <v>7369</v>
      </c>
      <c r="L977" t="s">
        <v>7370</v>
      </c>
      <c r="M977" t="s">
        <v>26</v>
      </c>
      <c r="N977" t="s">
        <v>26</v>
      </c>
      <c r="O977" t="s">
        <v>26</v>
      </c>
      <c r="P977" t="s">
        <v>7371</v>
      </c>
      <c r="Q977" s="1" t="d">
        <v>1950-11-01</v>
      </c>
      <c r="R977" t="s">
        <v>31</v>
      </c>
      <c r="S977" t="s">
        <v>7372</v>
      </c>
    </row>
    <row r="978" spans="1:19" x14ac:dyDescent="0.2">
      <c r="A978" t="s">
        <v>7373</v>
      </c>
      <c r="B978" t="s">
        <v>7374</v>
      </c>
      <c r="C978" t="s">
        <v>7375</v>
      </c>
      <c r="D978" t="s">
        <v>22</v>
      </c>
      <c r="E978" t="b">
        <v>0</v>
      </c>
      <c r="F978" t="s">
        <v>23</v>
      </c>
      <c r="G978" t="s">
        <v>7376</v>
      </c>
      <c r="H978" t="s">
        <v>1063</v>
      </c>
      <c r="I978" t="s">
        <v>26</v>
      </c>
      <c r="J978" t="s">
        <v>27</v>
      </c>
      <c r="K978" t="s">
        <v>7377</v>
      </c>
      <c r="L978" t="s">
        <v>7378</v>
      </c>
      <c r="M978" t="s">
        <v>7379</v>
      </c>
      <c r="N978" t="s">
        <v>7380</v>
      </c>
      <c r="O978" t="s">
        <v>7381</v>
      </c>
      <c r="P978" t="s">
        <v>26</v>
      </c>
      <c r="Q978" t="s">
        <v>54</v>
      </c>
      <c r="R978" t="s">
        <v>41</v>
      </c>
      <c r="S978" t="s">
        <v>7382</v>
      </c>
    </row>
    <row r="979" spans="1:19" x14ac:dyDescent="0.2">
      <c r="A979" t="s">
        <v>7383</v>
      </c>
      <c r="B979" t="s">
        <v>7383</v>
      </c>
      <c r="C979" t="s">
        <v>7384</v>
      </c>
      <c r="D979" t="s">
        <v>22</v>
      </c>
      <c r="E979" t="b">
        <v>0</v>
      </c>
      <c r="F979" t="s">
        <v>23</v>
      </c>
      <c r="G979" t="s">
        <v>7385</v>
      </c>
      <c r="H979" t="s">
        <v>634</v>
      </c>
      <c r="I979" s="2" t="d">
        <v>2016-05-01</v>
      </c>
      <c r="J979" t="s">
        <v>27</v>
      </c>
      <c r="K979" t="s">
        <v>7386</v>
      </c>
      <c r="L979" t="s">
        <v>7387</v>
      </c>
      <c r="M979" t="s">
        <v>7388</v>
      </c>
      <c r="N979" t="s">
        <v>7389</v>
      </c>
      <c r="O979" t="s">
        <v>7390</v>
      </c>
      <c r="P979">
        <f>44-203-856-4443</f>
        <v>-5458</v>
      </c>
      <c r="Q979" s="3" t="d">
        <v>2026-01-10</v>
      </c>
      <c r="R979" t="s">
        <v>41</v>
      </c>
      <c r="S979" t="s">
        <v>7391</v>
      </c>
    </row>
    <row r="980" spans="1:19" x14ac:dyDescent="0.2">
      <c r="A980" t="s">
        <v>7392</v>
      </c>
      <c r="B980" t="s">
        <v>7393</v>
      </c>
      <c r="C980" t="s">
        <v>7394</v>
      </c>
      <c r="D980" t="s">
        <v>22</v>
      </c>
      <c r="E980" t="b">
        <v>0</v>
      </c>
      <c r="F980" t="s">
        <v>23</v>
      </c>
      <c r="G980" t="s">
        <v>7395</v>
      </c>
      <c r="H980" t="s">
        <v>4180</v>
      </c>
      <c r="I980" t="s">
        <v>26</v>
      </c>
      <c r="J980" t="s">
        <v>27</v>
      </c>
      <c r="K980" t="s">
        <v>7396</v>
      </c>
      <c r="L980" t="s">
        <v>7392</v>
      </c>
      <c r="M980" t="s">
        <v>7397</v>
      </c>
      <c r="N980" t="s">
        <v>7398</v>
      </c>
      <c r="O980" t="s">
        <v>26</v>
      </c>
      <c r="P980" t="s">
        <v>7399</v>
      </c>
      <c r="Q980" t="s">
        <v>40</v>
      </c>
      <c r="R980" t="s">
        <v>1252</v>
      </c>
      <c r="S980" t="s">
        <v>7400</v>
      </c>
    </row>
    <row r="981" spans="1:19" x14ac:dyDescent="0.2">
      <c r="A981" t="s">
        <v>7401</v>
      </c>
      <c r="B981" t="s">
        <v>7402</v>
      </c>
      <c r="C981" t="s">
        <v>7403</v>
      </c>
      <c r="D981" t="s">
        <v>22</v>
      </c>
      <c r="E981" t="b">
        <v>0</v>
      </c>
      <c r="F981" t="s">
        <v>23</v>
      </c>
      <c r="G981" t="s">
        <v>7404</v>
      </c>
      <c r="H981" t="s">
        <v>7405</v>
      </c>
      <c r="I981" t="s">
        <v>26</v>
      </c>
      <c r="J981" t="s">
        <v>27</v>
      </c>
      <c r="K981" t="s">
        <v>7406</v>
      </c>
      <c r="L981" t="s">
        <v>7407</v>
      </c>
      <c r="M981" t="s">
        <v>7408</v>
      </c>
      <c r="N981" t="s">
        <v>26</v>
      </c>
      <c r="O981" t="s">
        <v>26</v>
      </c>
      <c r="P981" t="s">
        <v>26</v>
      </c>
      <c r="Q981" t="s">
        <v>40</v>
      </c>
      <c r="R981" t="s">
        <v>7409</v>
      </c>
      <c r="S981" t="s">
        <v>7410</v>
      </c>
    </row>
    <row r="982" spans="1:19" x14ac:dyDescent="0.2">
      <c r="A982" t="s">
        <v>7411</v>
      </c>
      <c r="B982" t="s">
        <v>7411</v>
      </c>
      <c r="C982" t="s">
        <v>7412</v>
      </c>
      <c r="D982" t="s">
        <v>22</v>
      </c>
      <c r="E982" t="b">
        <v>0</v>
      </c>
      <c r="F982" t="s">
        <v>23</v>
      </c>
      <c r="G982" t="s">
        <v>7413</v>
      </c>
      <c r="H982" t="s">
        <v>784</v>
      </c>
      <c r="I982" t="s">
        <v>26</v>
      </c>
      <c r="J982" t="s">
        <v>27</v>
      </c>
      <c r="K982" t="s">
        <v>7414</v>
      </c>
      <c r="L982" t="s">
        <v>7415</v>
      </c>
      <c r="M982" t="s">
        <v>7416</v>
      </c>
      <c r="N982" t="s">
        <v>26</v>
      </c>
      <c r="O982" t="s">
        <v>7417</v>
      </c>
      <c r="P982" t="s">
        <v>26</v>
      </c>
      <c r="Q982" s="3" t="d">
        <v>2026-01-10</v>
      </c>
      <c r="R982" t="s">
        <v>7418</v>
      </c>
      <c r="S982" t="s">
        <v>7419</v>
      </c>
    </row>
    <row r="983" spans="1:19" x14ac:dyDescent="0.2">
      <c r="A983" t="s">
        <v>7420</v>
      </c>
      <c r="B983" t="s">
        <v>7421</v>
      </c>
      <c r="C983" t="s">
        <v>7422</v>
      </c>
      <c r="D983" t="s">
        <v>22</v>
      </c>
      <c r="E983" t="b">
        <v>0</v>
      </c>
      <c r="F983" t="s">
        <v>23</v>
      </c>
      <c r="G983" t="s">
        <v>7423</v>
      </c>
      <c r="H983" t="s">
        <v>188</v>
      </c>
      <c r="I983" s="2" t="d">
        <v>2023-01-01</v>
      </c>
      <c r="J983" t="s">
        <v>27</v>
      </c>
      <c r="K983" t="s">
        <v>7424</v>
      </c>
      <c r="L983" t="s">
        <v>7425</v>
      </c>
      <c r="M983" t="s">
        <v>7426</v>
      </c>
      <c r="N983" t="s">
        <v>7427</v>
      </c>
      <c r="O983" t="s">
        <v>26</v>
      </c>
      <c r="P983" t="s">
        <v>7428</v>
      </c>
      <c r="Q983" s="1" t="d">
        <v>1950-11-01</v>
      </c>
      <c r="R983" t="s">
        <v>6603</v>
      </c>
      <c r="S983" t="s">
        <v>7429</v>
      </c>
    </row>
    <row r="984" spans="1:19" x14ac:dyDescent="0.2">
      <c r="A984" t="s">
        <v>7430</v>
      </c>
      <c r="B984" t="s">
        <v>26</v>
      </c>
      <c r="C984" t="s">
        <v>7431</v>
      </c>
      <c r="D984" t="s">
        <v>26</v>
      </c>
      <c r="E984" t="s">
        <v>26</v>
      </c>
      <c r="F984" t="s">
        <v>26</v>
      </c>
      <c r="G984" t="s">
        <v>7432</v>
      </c>
      <c r="H984" t="s">
        <v>26</v>
      </c>
      <c r="I984" t="s">
        <v>26</v>
      </c>
      <c r="J984" t="s">
        <v>26</v>
      </c>
      <c r="K984" t="s">
        <v>7433</v>
      </c>
      <c r="L984" t="s">
        <v>7434</v>
      </c>
      <c r="M984" t="s">
        <v>7435</v>
      </c>
      <c r="N984" t="s">
        <v>26</v>
      </c>
      <c r="O984" t="s">
        <v>26</v>
      </c>
      <c r="P984" t="s">
        <v>26</v>
      </c>
      <c r="Q984" t="s">
        <v>26</v>
      </c>
      <c r="R984" t="s">
        <v>7436</v>
      </c>
      <c r="S984" t="s">
        <v>7437</v>
      </c>
    </row>
    <row r="985" spans="1:19" x14ac:dyDescent="0.2">
      <c r="A985" t="s">
        <v>7438</v>
      </c>
      <c r="B985" t="s">
        <v>26</v>
      </c>
      <c r="C985" t="s">
        <v>7439</v>
      </c>
      <c r="D985" t="s">
        <v>26</v>
      </c>
      <c r="E985" t="s">
        <v>26</v>
      </c>
      <c r="F985" t="s">
        <v>26</v>
      </c>
      <c r="G985" t="s">
        <v>7440</v>
      </c>
      <c r="H985" t="s">
        <v>26</v>
      </c>
      <c r="I985" t="s">
        <v>26</v>
      </c>
      <c r="J985" t="s">
        <v>26</v>
      </c>
      <c r="K985" t="s">
        <v>7441</v>
      </c>
      <c r="L985" t="s">
        <v>7438</v>
      </c>
      <c r="M985" t="s">
        <v>7442</v>
      </c>
      <c r="N985" t="s">
        <v>26</v>
      </c>
      <c r="O985" t="s">
        <v>26</v>
      </c>
      <c r="P985" t="s">
        <v>26</v>
      </c>
      <c r="Q985" t="s">
        <v>26</v>
      </c>
      <c r="R985" t="s">
        <v>1861</v>
      </c>
      <c r="S985" t="s">
        <v>7443</v>
      </c>
    </row>
    <row r="986" spans="1:19" x14ac:dyDescent="0.2">
      <c r="A986" t="s">
        <v>7444</v>
      </c>
      <c r="B986" t="s">
        <v>7445</v>
      </c>
      <c r="C986" t="s">
        <v>7446</v>
      </c>
      <c r="D986" t="s">
        <v>22</v>
      </c>
      <c r="E986" t="b">
        <v>0</v>
      </c>
      <c r="F986" t="s">
        <v>23</v>
      </c>
      <c r="G986" t="s">
        <v>7447</v>
      </c>
      <c r="H986" t="s">
        <v>212</v>
      </c>
      <c r="I986" s="2" t="d">
        <v>2016-01-01</v>
      </c>
      <c r="J986" t="s">
        <v>27</v>
      </c>
      <c r="K986" t="s">
        <v>7448</v>
      </c>
      <c r="L986" t="s">
        <v>7449</v>
      </c>
      <c r="M986" t="s">
        <v>26</v>
      </c>
      <c r="N986" t="s">
        <v>26</v>
      </c>
      <c r="O986" t="s">
        <v>26</v>
      </c>
      <c r="P986" t="s">
        <v>26</v>
      </c>
      <c r="Q986" t="s">
        <v>218</v>
      </c>
      <c r="R986" t="s">
        <v>41</v>
      </c>
      <c r="S986" t="s">
        <v>7450</v>
      </c>
    </row>
    <row r="987" spans="1:19" x14ac:dyDescent="0.2">
      <c r="A987" t="s">
        <v>7451</v>
      </c>
      <c r="B987" t="s">
        <v>7451</v>
      </c>
      <c r="C987" t="s">
        <v>7452</v>
      </c>
      <c r="D987" t="s">
        <v>22</v>
      </c>
      <c r="E987" t="b">
        <v>0</v>
      </c>
      <c r="F987" t="s">
        <v>23</v>
      </c>
      <c r="G987" t="s">
        <v>7453</v>
      </c>
      <c r="H987" t="s">
        <v>7454</v>
      </c>
      <c r="I987" s="2" t="d">
        <v>2017-06-01</v>
      </c>
      <c r="J987" t="s">
        <v>27</v>
      </c>
      <c r="K987" t="s">
        <v>7455</v>
      </c>
      <c r="L987" t="s">
        <v>7451</v>
      </c>
      <c r="M987" t="s">
        <v>7456</v>
      </c>
      <c r="N987" t="s">
        <v>7457</v>
      </c>
      <c r="O987" t="s">
        <v>7458</v>
      </c>
      <c r="P987">
        <v>8002190960</v>
      </c>
      <c r="Q987" t="s">
        <v>54</v>
      </c>
      <c r="R987" t="s">
        <v>41</v>
      </c>
      <c r="S987" t="s">
        <v>7459</v>
      </c>
    </row>
    <row r="988" spans="1:19" x14ac:dyDescent="0.2">
      <c r="A988" t="s">
        <v>7460</v>
      </c>
      <c r="B988" t="s">
        <v>7461</v>
      </c>
      <c r="C988" t="s">
        <v>7462</v>
      </c>
      <c r="D988" t="s">
        <v>22</v>
      </c>
      <c r="E988" t="b">
        <v>0</v>
      </c>
      <c r="F988" t="s">
        <v>23</v>
      </c>
      <c r="G988" t="s">
        <v>7463</v>
      </c>
      <c r="H988" t="s">
        <v>67</v>
      </c>
      <c r="I988" t="s">
        <v>26</v>
      </c>
      <c r="J988" t="s">
        <v>27</v>
      </c>
      <c r="K988" t="s">
        <v>7464</v>
      </c>
      <c r="L988" t="s">
        <v>7465</v>
      </c>
      <c r="M988" t="s">
        <v>7466</v>
      </c>
      <c r="N988" t="s">
        <v>7467</v>
      </c>
      <c r="O988" t="s">
        <v>26</v>
      </c>
      <c r="P988" t="s">
        <v>26</v>
      </c>
      <c r="Q988" s="3" t="d">
        <v>2026-01-10</v>
      </c>
      <c r="R988" t="s">
        <v>3196</v>
      </c>
      <c r="S988" t="s">
        <v>7468</v>
      </c>
    </row>
    <row r="989" spans="1:19" x14ac:dyDescent="0.2">
      <c r="A989" t="s">
        <v>7469</v>
      </c>
      <c r="B989" t="s">
        <v>7469</v>
      </c>
      <c r="C989" t="s">
        <v>7470</v>
      </c>
      <c r="D989" t="s">
        <v>22</v>
      </c>
      <c r="E989" t="b">
        <v>0</v>
      </c>
      <c r="F989" t="s">
        <v>23</v>
      </c>
      <c r="G989" t="s">
        <v>7471</v>
      </c>
      <c r="H989" t="s">
        <v>7472</v>
      </c>
      <c r="I989" s="2" t="d">
        <v>2014-01-01</v>
      </c>
      <c r="J989" t="s">
        <v>27</v>
      </c>
      <c r="K989" t="s">
        <v>7473</v>
      </c>
      <c r="L989" t="s">
        <v>7469</v>
      </c>
      <c r="M989" t="s">
        <v>7474</v>
      </c>
      <c r="N989" t="s">
        <v>7475</v>
      </c>
      <c r="O989" t="s">
        <v>7476</v>
      </c>
      <c r="P989" t="s">
        <v>7477</v>
      </c>
      <c r="Q989" s="1" t="d">
        <v>1950-11-01</v>
      </c>
      <c r="R989" t="s">
        <v>41</v>
      </c>
      <c r="S989" t="s">
        <v>7478</v>
      </c>
    </row>
    <row r="990" spans="1:19" x14ac:dyDescent="0.2">
      <c r="A990" t="s">
        <v>7479</v>
      </c>
      <c r="B990" t="s">
        <v>7479</v>
      </c>
      <c r="C990" t="s">
        <v>7480</v>
      </c>
      <c r="D990" t="s">
        <v>22</v>
      </c>
      <c r="E990" t="b">
        <v>1</v>
      </c>
      <c r="F990" t="s">
        <v>23</v>
      </c>
      <c r="G990" t="s">
        <v>7481</v>
      </c>
      <c r="H990" t="s">
        <v>634</v>
      </c>
      <c r="I990" t="s">
        <v>26</v>
      </c>
      <c r="J990" t="s">
        <v>27</v>
      </c>
      <c r="K990" t="s">
        <v>7482</v>
      </c>
      <c r="L990" t="s">
        <v>7479</v>
      </c>
      <c r="M990" t="s">
        <v>7483</v>
      </c>
      <c r="N990" t="s">
        <v>7484</v>
      </c>
      <c r="O990" t="s">
        <v>26</v>
      </c>
      <c r="P990" t="s">
        <v>26</v>
      </c>
      <c r="Q990" t="s">
        <v>218</v>
      </c>
      <c r="R990" t="s">
        <v>1252</v>
      </c>
      <c r="S990" t="s">
        <v>7485</v>
      </c>
    </row>
    <row r="991" spans="1:19" x14ac:dyDescent="0.2">
      <c r="A991" t="s">
        <v>7486</v>
      </c>
      <c r="B991" t="s">
        <v>26</v>
      </c>
      <c r="C991" t="s">
        <v>7487</v>
      </c>
      <c r="D991" t="s">
        <v>26</v>
      </c>
      <c r="E991" t="s">
        <v>26</v>
      </c>
      <c r="F991" t="s">
        <v>26</v>
      </c>
      <c r="G991" t="s">
        <v>7488</v>
      </c>
      <c r="H991" t="s">
        <v>26</v>
      </c>
      <c r="I991" t="s">
        <v>26</v>
      </c>
      <c r="J991" t="s">
        <v>26</v>
      </c>
      <c r="K991" t="s">
        <v>7489</v>
      </c>
      <c r="L991" t="s">
        <v>7490</v>
      </c>
      <c r="M991" t="s">
        <v>26</v>
      </c>
      <c r="N991" t="s">
        <v>26</v>
      </c>
      <c r="O991" t="s">
        <v>26</v>
      </c>
      <c r="P991" t="s">
        <v>26</v>
      </c>
      <c r="Q991" t="s">
        <v>26</v>
      </c>
      <c r="R991" t="s">
        <v>5598</v>
      </c>
      <c r="S991" t="s">
        <v>7491</v>
      </c>
    </row>
    <row r="992" spans="1:19" x14ac:dyDescent="0.2">
      <c r="A992" t="s">
        <v>7492</v>
      </c>
      <c r="B992" t="s">
        <v>26</v>
      </c>
      <c r="C992" t="s">
        <v>7493</v>
      </c>
      <c r="D992" t="s">
        <v>26</v>
      </c>
      <c r="E992" t="s">
        <v>26</v>
      </c>
      <c r="F992" t="s">
        <v>26</v>
      </c>
      <c r="G992" t="s">
        <v>7494</v>
      </c>
      <c r="H992" t="s">
        <v>26</v>
      </c>
      <c r="I992" t="s">
        <v>26</v>
      </c>
      <c r="J992" t="s">
        <v>26</v>
      </c>
      <c r="K992" t="s">
        <v>7495</v>
      </c>
      <c r="L992" t="s">
        <v>7496</v>
      </c>
      <c r="M992" t="s">
        <v>26</v>
      </c>
      <c r="N992" t="s">
        <v>26</v>
      </c>
      <c r="O992" t="s">
        <v>26</v>
      </c>
      <c r="P992" t="s">
        <v>26</v>
      </c>
      <c r="Q992" t="s">
        <v>26</v>
      </c>
      <c r="R992" t="s">
        <v>7497</v>
      </c>
      <c r="S992" t="s">
        <v>7498</v>
      </c>
    </row>
    <row r="993" spans="1:19" x14ac:dyDescent="0.2">
      <c r="A993" t="s">
        <v>7499</v>
      </c>
      <c r="B993" t="s">
        <v>26</v>
      </c>
      <c r="C993" t="s">
        <v>7500</v>
      </c>
      <c r="D993" t="s">
        <v>26</v>
      </c>
      <c r="E993" t="s">
        <v>26</v>
      </c>
      <c r="F993" t="s">
        <v>26</v>
      </c>
      <c r="G993" t="s">
        <v>7501</v>
      </c>
      <c r="H993" t="s">
        <v>26</v>
      </c>
      <c r="I993" t="s">
        <v>26</v>
      </c>
      <c r="J993" t="s">
        <v>26</v>
      </c>
      <c r="K993" t="s">
        <v>26</v>
      </c>
      <c r="L993" t="s">
        <v>26</v>
      </c>
      <c r="M993" t="s">
        <v>7502</v>
      </c>
      <c r="N993" t="s">
        <v>26</v>
      </c>
      <c r="O993" t="s">
        <v>26</v>
      </c>
      <c r="P993" t="s">
        <v>26</v>
      </c>
      <c r="Q993" t="s">
        <v>26</v>
      </c>
      <c r="R993" t="s">
        <v>7503</v>
      </c>
      <c r="S993" t="s">
        <v>7504</v>
      </c>
    </row>
    <row r="994" spans="1:19" x14ac:dyDescent="0.2">
      <c r="A994" t="s">
        <v>7505</v>
      </c>
      <c r="B994" t="s">
        <v>26</v>
      </c>
      <c r="C994" t="s">
        <v>7506</v>
      </c>
      <c r="D994" t="s">
        <v>26</v>
      </c>
      <c r="E994" t="s">
        <v>26</v>
      </c>
      <c r="F994" t="s">
        <v>26</v>
      </c>
      <c r="G994" t="s">
        <v>7507</v>
      </c>
      <c r="H994" t="s">
        <v>26</v>
      </c>
      <c r="I994" t="s">
        <v>26</v>
      </c>
      <c r="J994" t="s">
        <v>26</v>
      </c>
      <c r="K994" t="s">
        <v>7508</v>
      </c>
      <c r="L994" t="s">
        <v>7509</v>
      </c>
      <c r="M994" t="s">
        <v>26</v>
      </c>
      <c r="N994" t="s">
        <v>26</v>
      </c>
      <c r="O994" t="s">
        <v>26</v>
      </c>
      <c r="P994" t="s">
        <v>26</v>
      </c>
      <c r="Q994" t="s">
        <v>26</v>
      </c>
      <c r="R994" t="s">
        <v>5598</v>
      </c>
      <c r="S994" t="s">
        <v>7510</v>
      </c>
    </row>
    <row r="995" spans="1:19" x14ac:dyDescent="0.2">
      <c r="A995" t="s">
        <v>7511</v>
      </c>
      <c r="B995" t="s">
        <v>7511</v>
      </c>
      <c r="C995" t="s">
        <v>7512</v>
      </c>
      <c r="D995" t="s">
        <v>22</v>
      </c>
      <c r="E995" t="b">
        <v>0</v>
      </c>
      <c r="F995" t="s">
        <v>23</v>
      </c>
      <c r="G995" t="s">
        <v>7513</v>
      </c>
      <c r="H995" t="s">
        <v>7514</v>
      </c>
      <c r="I995" s="2" t="d">
        <v>1987-01-01</v>
      </c>
      <c r="J995" t="s">
        <v>27</v>
      </c>
      <c r="K995" t="s">
        <v>7515</v>
      </c>
      <c r="L995" t="s">
        <v>7516</v>
      </c>
      <c r="M995" t="s">
        <v>26</v>
      </c>
      <c r="N995" t="s">
        <v>7517</v>
      </c>
      <c r="O995" t="s">
        <v>7518</v>
      </c>
      <c r="P995" t="s">
        <v>7519</v>
      </c>
      <c r="Q995" s="3" t="d">
        <v>2026-01-10</v>
      </c>
      <c r="R995" t="s">
        <v>41</v>
      </c>
      <c r="S995" t="s">
        <v>7520</v>
      </c>
    </row>
    <row r="996" spans="1:19" x14ac:dyDescent="0.2">
      <c r="A996" t="s">
        <v>7521</v>
      </c>
      <c r="B996" t="s">
        <v>7521</v>
      </c>
      <c r="C996" t="s">
        <v>7522</v>
      </c>
      <c r="D996" t="s">
        <v>22</v>
      </c>
      <c r="E996" t="b">
        <v>0</v>
      </c>
      <c r="F996" t="s">
        <v>23</v>
      </c>
      <c r="G996" t="s">
        <v>7523</v>
      </c>
      <c r="H996" t="s">
        <v>486</v>
      </c>
      <c r="I996" s="2" t="d">
        <v>2020-01-01</v>
      </c>
      <c r="J996" t="s">
        <v>27</v>
      </c>
      <c r="K996" t="s">
        <v>7524</v>
      </c>
      <c r="L996" t="s">
        <v>7521</v>
      </c>
      <c r="M996" t="s">
        <v>7525</v>
      </c>
      <c r="N996" t="s">
        <v>26</v>
      </c>
      <c r="O996" t="s">
        <v>7526</v>
      </c>
      <c r="P996" t="s">
        <v>7527</v>
      </c>
      <c r="Q996" s="3" t="d">
        <v>2026-01-10</v>
      </c>
      <c r="R996" t="s">
        <v>41</v>
      </c>
      <c r="S996" t="s">
        <v>7528</v>
      </c>
    </row>
    <row r="997" spans="1:19" x14ac:dyDescent="0.2">
      <c r="A997" t="s">
        <v>7529</v>
      </c>
      <c r="B997" t="s">
        <v>7529</v>
      </c>
      <c r="C997" t="s">
        <v>7530</v>
      </c>
      <c r="D997" t="s">
        <v>22</v>
      </c>
      <c r="E997" t="b">
        <v>0</v>
      </c>
      <c r="F997" t="s">
        <v>23</v>
      </c>
      <c r="G997" t="s">
        <v>7531</v>
      </c>
      <c r="H997" t="s">
        <v>7532</v>
      </c>
      <c r="I997" s="2" t="d">
        <v>2022-01-01</v>
      </c>
      <c r="J997" t="s">
        <v>27</v>
      </c>
      <c r="K997" t="s">
        <v>7533</v>
      </c>
      <c r="L997" t="s">
        <v>7529</v>
      </c>
      <c r="M997" t="s">
        <v>7534</v>
      </c>
      <c r="N997" t="s">
        <v>7535</v>
      </c>
      <c r="O997" t="s">
        <v>7536</v>
      </c>
      <c r="P997" t="s">
        <v>26</v>
      </c>
      <c r="Q997" s="3" t="d">
        <v>2026-01-10</v>
      </c>
      <c r="R997" t="s">
        <v>41</v>
      </c>
      <c r="S997" t="s">
        <v>7537</v>
      </c>
    </row>
    <row r="998" spans="1:19" x14ac:dyDescent="0.2">
      <c r="A998" t="s">
        <v>7538</v>
      </c>
      <c r="B998" t="s">
        <v>7539</v>
      </c>
      <c r="C998" t="s">
        <v>7540</v>
      </c>
      <c r="D998" t="s">
        <v>22</v>
      </c>
      <c r="E998" t="b">
        <v>0</v>
      </c>
      <c r="F998" t="s">
        <v>23</v>
      </c>
      <c r="G998" t="s">
        <v>7541</v>
      </c>
      <c r="H998" t="s">
        <v>682</v>
      </c>
      <c r="I998" t="s">
        <v>26</v>
      </c>
      <c r="J998" t="s">
        <v>27</v>
      </c>
      <c r="K998" t="s">
        <v>7542</v>
      </c>
      <c r="L998" t="s">
        <v>7538</v>
      </c>
      <c r="M998" t="s">
        <v>7543</v>
      </c>
      <c r="N998" t="s">
        <v>26</v>
      </c>
      <c r="O998" t="s">
        <v>7544</v>
      </c>
      <c r="P998" t="s">
        <v>7545</v>
      </c>
      <c r="Q998" t="s">
        <v>40</v>
      </c>
      <c r="R998" t="s">
        <v>3866</v>
      </c>
      <c r="S998" t="s">
        <v>7546</v>
      </c>
    </row>
    <row r="999" spans="1:19" x14ac:dyDescent="0.2">
      <c r="A999" t="s">
        <v>7547</v>
      </c>
      <c r="B999" t="s">
        <v>26</v>
      </c>
      <c r="C999" t="s">
        <v>7548</v>
      </c>
      <c r="D999" t="s">
        <v>26</v>
      </c>
      <c r="E999" t="s">
        <v>26</v>
      </c>
      <c r="F999" t="s">
        <v>26</v>
      </c>
      <c r="G999" t="s">
        <v>7549</v>
      </c>
      <c r="H999" t="s">
        <v>26</v>
      </c>
      <c r="I999" t="s">
        <v>26</v>
      </c>
      <c r="J999" t="s">
        <v>26</v>
      </c>
      <c r="K999" t="s">
        <v>7550</v>
      </c>
      <c r="L999" t="s">
        <v>26</v>
      </c>
      <c r="M999" t="s">
        <v>26</v>
      </c>
      <c r="N999" t="s">
        <v>26</v>
      </c>
      <c r="O999" t="s">
        <v>26</v>
      </c>
      <c r="P999" t="s">
        <v>26</v>
      </c>
      <c r="Q999" t="s">
        <v>26</v>
      </c>
      <c r="R999" t="s">
        <v>7551</v>
      </c>
      <c r="S999" t="s">
        <v>7552</v>
      </c>
    </row>
    <row r="1000" spans="1:19" x14ac:dyDescent="0.2">
      <c r="A1000" t="s">
        <v>7553</v>
      </c>
      <c r="B1000" t="s">
        <v>26</v>
      </c>
      <c r="C1000" t="s">
        <v>7554</v>
      </c>
      <c r="D1000" t="s">
        <v>26</v>
      </c>
      <c r="E1000" t="s">
        <v>26</v>
      </c>
      <c r="F1000" t="s">
        <v>26</v>
      </c>
      <c r="G1000" t="s">
        <v>7555</v>
      </c>
      <c r="H1000" t="s">
        <v>26</v>
      </c>
      <c r="I1000" t="s">
        <v>26</v>
      </c>
      <c r="J1000" t="s">
        <v>26</v>
      </c>
      <c r="K1000" t="s">
        <v>7556</v>
      </c>
      <c r="L1000" t="s">
        <v>7557</v>
      </c>
      <c r="M1000" t="s">
        <v>26</v>
      </c>
      <c r="N1000" t="s">
        <v>26</v>
      </c>
      <c r="O1000" t="s">
        <v>26</v>
      </c>
      <c r="P1000" t="s">
        <v>26</v>
      </c>
      <c r="Q1000" t="s">
        <v>26</v>
      </c>
      <c r="R1000" t="s">
        <v>7551</v>
      </c>
      <c r="S1000" t="s">
        <v>7558</v>
      </c>
    </row>
    <row r="1001" spans="1:19" x14ac:dyDescent="0.2">
      <c r="A1001" t="s">
        <v>7559</v>
      </c>
      <c r="B1001" t="s">
        <v>7559</v>
      </c>
      <c r="C1001" t="s">
        <v>7560</v>
      </c>
      <c r="D1001" t="s">
        <v>22</v>
      </c>
      <c r="E1001" t="b">
        <v>0</v>
      </c>
      <c r="F1001" t="s">
        <v>23</v>
      </c>
      <c r="G1001" t="s">
        <v>7561</v>
      </c>
      <c r="H1001" t="s">
        <v>7562</v>
      </c>
      <c r="I1001" t="s">
        <v>26</v>
      </c>
      <c r="J1001" t="s">
        <v>27</v>
      </c>
      <c r="K1001" t="s">
        <v>7563</v>
      </c>
      <c r="L1001" t="s">
        <v>7559</v>
      </c>
      <c r="M1001" t="s">
        <v>7564</v>
      </c>
      <c r="N1001" t="s">
        <v>26</v>
      </c>
      <c r="O1001" t="s">
        <v>26</v>
      </c>
      <c r="P1001" t="s">
        <v>26</v>
      </c>
      <c r="Q1001" s="3" t="d">
        <v>2026-01-10</v>
      </c>
      <c r="R1001" t="s">
        <v>7319</v>
      </c>
      <c r="S1001" t="s">
        <v>7565</v>
      </c>
    </row>
  </sheetData>
  <pageMargins left="0.75" right="0.75" top="1" bottom="1" header="0.5" footer="0.5"/>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9C539-3FBD-B042-B0D6-D4CB73C64236}">
  <dimension ref="A1:F101"/>
  <sheetViews>
    <sheetView tabSelected="1" topLeftCell="A26" workbookViewId="0">
      <selection activeCell="G40" sqref="G40"/>
    </sheetView>
  </sheetViews>
  <sheetFormatPr baseColWidth="10" defaultRowHeight="16" x14ac:dyDescent="0.2"/>
  <sheetData>
    <row r="1" spans="1:6" x14ac:dyDescent="0.2">
      <c r="A1" t="s">
        <v>2</v>
      </c>
      <c r="B1" t="s">
        <v>1</v>
      </c>
      <c r="C1" t="s">
        <v>10</v>
      </c>
      <c r="D1" t="s">
        <v>11</v>
      </c>
      <c r="E1" t="s">
        <v>12</v>
      </c>
      <c r="F1" t="s">
        <v>13</v>
      </c>
    </row>
    <row r="2" spans="1:6" x14ac:dyDescent="0.2">
      <c r="A2" t="s">
        <v>7567</v>
      </c>
      <c r="B2" t="s">
        <v>7566</v>
      </c>
      <c r="C2" t="s">
        <v>7568</v>
      </c>
      <c r="D2" t="s">
        <v>7566</v>
      </c>
      <c r="E2" t="s">
        <v>7569</v>
      </c>
      <c r="F2" t="s">
        <v>26</v>
      </c>
    </row>
    <row r="3" spans="1:6" x14ac:dyDescent="0.2">
      <c r="A3" t="s">
        <v>7571</v>
      </c>
      <c r="B3" t="s">
        <v>7570</v>
      </c>
      <c r="C3" t="s">
        <v>7572</v>
      </c>
      <c r="D3" t="s">
        <v>7573</v>
      </c>
      <c r="E3" t="s">
        <v>7574</v>
      </c>
      <c r="F3" t="s">
        <v>7575</v>
      </c>
    </row>
    <row r="4" spans="1:6" x14ac:dyDescent="0.2">
      <c r="A4" t="s">
        <v>7576</v>
      </c>
      <c r="B4" t="s">
        <v>26</v>
      </c>
      <c r="C4" t="s">
        <v>7577</v>
      </c>
      <c r="D4" t="s">
        <v>7578</v>
      </c>
      <c r="E4" t="s">
        <v>26</v>
      </c>
      <c r="F4" t="s">
        <v>26</v>
      </c>
    </row>
    <row r="5" spans="1:6" x14ac:dyDescent="0.2">
      <c r="A5" t="s">
        <v>7580</v>
      </c>
      <c r="B5" t="s">
        <v>7579</v>
      </c>
      <c r="C5" t="s">
        <v>7581</v>
      </c>
      <c r="D5" t="s">
        <v>7582</v>
      </c>
      <c r="E5" t="s">
        <v>7583</v>
      </c>
      <c r="F5" t="s">
        <v>7584</v>
      </c>
    </row>
    <row r="6" spans="1:6" x14ac:dyDescent="0.2">
      <c r="A6" t="s">
        <v>7585</v>
      </c>
      <c r="B6" t="s">
        <v>26</v>
      </c>
      <c r="C6" t="s">
        <v>7586</v>
      </c>
      <c r="D6" t="s">
        <v>7587</v>
      </c>
      <c r="E6" t="s">
        <v>26</v>
      </c>
      <c r="F6" t="s">
        <v>26</v>
      </c>
    </row>
    <row r="7" spans="1:6" x14ac:dyDescent="0.2">
      <c r="A7" t="s">
        <v>7588</v>
      </c>
      <c r="B7" t="s">
        <v>26</v>
      </c>
      <c r="C7" t="s">
        <v>7589</v>
      </c>
      <c r="D7" t="s">
        <v>7590</v>
      </c>
      <c r="E7" t="s">
        <v>7591</v>
      </c>
      <c r="F7" t="s">
        <v>26</v>
      </c>
    </row>
    <row r="8" spans="1:6" x14ac:dyDescent="0.2">
      <c r="A8" t="s">
        <v>7592</v>
      </c>
      <c r="B8" t="s">
        <v>26</v>
      </c>
      <c r="C8" t="s">
        <v>26</v>
      </c>
      <c r="D8" t="s">
        <v>26</v>
      </c>
      <c r="E8" t="s">
        <v>26</v>
      </c>
      <c r="F8" t="s">
        <v>26</v>
      </c>
    </row>
    <row r="9" spans="1:6" x14ac:dyDescent="0.2">
      <c r="A9" t="s">
        <v>7594</v>
      </c>
      <c r="B9" t="s">
        <v>26</v>
      </c>
      <c r="C9" t="s">
        <v>7595</v>
      </c>
      <c r="D9" t="s">
        <v>7593</v>
      </c>
      <c r="E9" t="s">
        <v>26</v>
      </c>
      <c r="F9" t="s">
        <v>7596</v>
      </c>
    </row>
    <row r="10" spans="1:6" x14ac:dyDescent="0.2">
      <c r="A10" t="s">
        <v>7597</v>
      </c>
      <c r="B10" t="s">
        <v>26</v>
      </c>
      <c r="C10" t="s">
        <v>7598</v>
      </c>
      <c r="D10" t="s">
        <v>7599</v>
      </c>
      <c r="E10" t="s">
        <v>7600</v>
      </c>
      <c r="F10" t="s">
        <v>26</v>
      </c>
    </row>
    <row r="11" spans="1:6" x14ac:dyDescent="0.2">
      <c r="A11" t="s">
        <v>7602</v>
      </c>
      <c r="B11" t="s">
        <v>7601</v>
      </c>
      <c r="C11" t="s">
        <v>7603</v>
      </c>
      <c r="D11" t="s">
        <v>7601</v>
      </c>
      <c r="E11" t="s">
        <v>26</v>
      </c>
      <c r="F11" t="s">
        <v>26</v>
      </c>
    </row>
    <row r="12" spans="1:6" x14ac:dyDescent="0.2">
      <c r="A12" t="s">
        <v>7604</v>
      </c>
      <c r="B12" t="s">
        <v>26</v>
      </c>
      <c r="C12" t="s">
        <v>7605</v>
      </c>
      <c r="D12" t="s">
        <v>26</v>
      </c>
      <c r="E12" t="s">
        <v>26</v>
      </c>
      <c r="F12" t="s">
        <v>26</v>
      </c>
    </row>
    <row r="13" spans="1:6" x14ac:dyDescent="0.2">
      <c r="A13" t="s">
        <v>7606</v>
      </c>
      <c r="B13" t="s">
        <v>26</v>
      </c>
      <c r="C13" t="s">
        <v>26</v>
      </c>
      <c r="D13" t="s">
        <v>26</v>
      </c>
      <c r="E13" t="s">
        <v>26</v>
      </c>
      <c r="F13" t="s">
        <v>26</v>
      </c>
    </row>
    <row r="14" spans="1:6" x14ac:dyDescent="0.2">
      <c r="A14" t="s">
        <v>7608</v>
      </c>
      <c r="B14" t="s">
        <v>26</v>
      </c>
      <c r="C14" t="s">
        <v>7609</v>
      </c>
      <c r="D14" t="s">
        <v>7607</v>
      </c>
      <c r="E14" t="s">
        <v>7610</v>
      </c>
      <c r="F14" t="s">
        <v>26</v>
      </c>
    </row>
    <row r="15" spans="1:6" x14ac:dyDescent="0.2">
      <c r="A15" t="s">
        <v>7611</v>
      </c>
      <c r="B15" t="s">
        <v>26</v>
      </c>
      <c r="C15" t="s">
        <v>7612</v>
      </c>
      <c r="D15" t="s">
        <v>7613</v>
      </c>
      <c r="E15" t="s">
        <v>26</v>
      </c>
      <c r="F15" t="s">
        <v>26</v>
      </c>
    </row>
    <row r="16" spans="1:6" x14ac:dyDescent="0.2">
      <c r="A16" t="s">
        <v>7615</v>
      </c>
      <c r="B16" t="s">
        <v>7614</v>
      </c>
      <c r="C16" t="s">
        <v>7616</v>
      </c>
      <c r="D16" t="s">
        <v>7617</v>
      </c>
      <c r="E16" t="s">
        <v>7618</v>
      </c>
      <c r="F16" t="s">
        <v>7619</v>
      </c>
    </row>
    <row r="17" spans="1:6" x14ac:dyDescent="0.2">
      <c r="A17" t="s">
        <v>7621</v>
      </c>
      <c r="B17" t="s">
        <v>7620</v>
      </c>
      <c r="C17" t="s">
        <v>7622</v>
      </c>
      <c r="D17" t="s">
        <v>7620</v>
      </c>
      <c r="E17" t="s">
        <v>7623</v>
      </c>
      <c r="F17" t="s">
        <v>7624</v>
      </c>
    </row>
    <row r="18" spans="1:6" x14ac:dyDescent="0.2">
      <c r="A18" t="s">
        <v>7626</v>
      </c>
      <c r="B18" t="s">
        <v>7625</v>
      </c>
      <c r="C18" t="s">
        <v>7627</v>
      </c>
      <c r="D18" t="s">
        <v>7628</v>
      </c>
      <c r="E18" t="s">
        <v>7629</v>
      </c>
      <c r="F18" t="s">
        <v>7630</v>
      </c>
    </row>
    <row r="19" spans="1:6" x14ac:dyDescent="0.2">
      <c r="A19" t="s">
        <v>7632</v>
      </c>
      <c r="B19" t="s">
        <v>7631</v>
      </c>
      <c r="C19" t="s">
        <v>7633</v>
      </c>
      <c r="D19" t="s">
        <v>7634</v>
      </c>
      <c r="E19" t="s">
        <v>7635</v>
      </c>
      <c r="F19" t="s">
        <v>26</v>
      </c>
    </row>
    <row r="20" spans="1:6" x14ac:dyDescent="0.2">
      <c r="A20" t="s">
        <v>7636</v>
      </c>
      <c r="B20" t="s">
        <v>26</v>
      </c>
      <c r="C20" t="s">
        <v>7637</v>
      </c>
      <c r="D20" t="s">
        <v>7638</v>
      </c>
      <c r="E20" t="s">
        <v>26</v>
      </c>
      <c r="F20" t="s">
        <v>26</v>
      </c>
    </row>
    <row r="21" spans="1:6" x14ac:dyDescent="0.2">
      <c r="A21" t="s">
        <v>7639</v>
      </c>
      <c r="B21" t="s">
        <v>26</v>
      </c>
      <c r="C21" t="s">
        <v>7640</v>
      </c>
      <c r="D21" t="s">
        <v>7641</v>
      </c>
      <c r="E21" t="s">
        <v>7642</v>
      </c>
      <c r="F21" t="s">
        <v>26</v>
      </c>
    </row>
    <row r="22" spans="1:6" x14ac:dyDescent="0.2">
      <c r="A22" t="s">
        <v>7643</v>
      </c>
      <c r="B22" t="s">
        <v>26</v>
      </c>
      <c r="C22" t="s">
        <v>7644</v>
      </c>
      <c r="D22" t="s">
        <v>26</v>
      </c>
      <c r="E22" t="s">
        <v>7645</v>
      </c>
      <c r="F22" t="s">
        <v>26</v>
      </c>
    </row>
    <row r="23" spans="1:6" x14ac:dyDescent="0.2">
      <c r="A23" t="s">
        <v>7646</v>
      </c>
      <c r="B23" t="s">
        <v>26</v>
      </c>
      <c r="C23" t="s">
        <v>7647</v>
      </c>
      <c r="D23" t="s">
        <v>26</v>
      </c>
      <c r="E23" t="s">
        <v>26</v>
      </c>
      <c r="F23" t="s">
        <v>26</v>
      </c>
    </row>
    <row r="24" spans="1:6" x14ac:dyDescent="0.2">
      <c r="A24" t="s">
        <v>7649</v>
      </c>
      <c r="B24" t="s">
        <v>7648</v>
      </c>
      <c r="C24" t="s">
        <v>7650</v>
      </c>
      <c r="D24">
        <v>35476277</v>
      </c>
      <c r="E24" t="s">
        <v>7651</v>
      </c>
      <c r="F24" t="s">
        <v>26</v>
      </c>
    </row>
    <row r="25" spans="1:6" x14ac:dyDescent="0.2">
      <c r="A25" t="s">
        <v>7653</v>
      </c>
      <c r="B25" t="s">
        <v>7652</v>
      </c>
      <c r="C25" t="s">
        <v>7654</v>
      </c>
      <c r="D25" t="s">
        <v>7655</v>
      </c>
      <c r="E25" t="s">
        <v>7656</v>
      </c>
      <c r="F25" t="s">
        <v>26</v>
      </c>
    </row>
    <row r="26" spans="1:6" x14ac:dyDescent="0.2">
      <c r="A26" t="s">
        <v>7658</v>
      </c>
      <c r="B26" t="s">
        <v>7657</v>
      </c>
      <c r="C26" t="s">
        <v>7659</v>
      </c>
      <c r="D26" t="s">
        <v>7660</v>
      </c>
      <c r="E26" t="s">
        <v>7661</v>
      </c>
      <c r="F26" t="s">
        <v>7662</v>
      </c>
    </row>
    <row r="27" spans="1:6" x14ac:dyDescent="0.2">
      <c r="A27" t="s">
        <v>7664</v>
      </c>
      <c r="B27" t="s">
        <v>7663</v>
      </c>
      <c r="C27" t="s">
        <v>7665</v>
      </c>
      <c r="D27" t="s">
        <v>7666</v>
      </c>
      <c r="E27" t="s">
        <v>26</v>
      </c>
      <c r="F27" t="s">
        <v>7667</v>
      </c>
    </row>
    <row r="28" spans="1:6" x14ac:dyDescent="0.2">
      <c r="A28" t="s">
        <v>7669</v>
      </c>
      <c r="B28" t="s">
        <v>7668</v>
      </c>
      <c r="C28" t="s">
        <v>7670</v>
      </c>
      <c r="D28" t="s">
        <v>7671</v>
      </c>
      <c r="E28" t="s">
        <v>7672</v>
      </c>
      <c r="F28" t="s">
        <v>7673</v>
      </c>
    </row>
    <row r="29" spans="1:6" x14ac:dyDescent="0.2">
      <c r="A29" t="s">
        <v>7674</v>
      </c>
      <c r="B29" t="s">
        <v>26</v>
      </c>
      <c r="C29" t="s">
        <v>7675</v>
      </c>
      <c r="D29" t="s">
        <v>26</v>
      </c>
      <c r="E29" t="s">
        <v>26</v>
      </c>
      <c r="F29" t="s">
        <v>7676</v>
      </c>
    </row>
    <row r="30" spans="1:6" x14ac:dyDescent="0.2">
      <c r="A30" t="s">
        <v>7678</v>
      </c>
      <c r="B30" t="s">
        <v>7677</v>
      </c>
      <c r="C30" t="s">
        <v>7679</v>
      </c>
      <c r="D30" t="s">
        <v>26</v>
      </c>
      <c r="E30" t="s">
        <v>26</v>
      </c>
      <c r="F30" t="s">
        <v>26</v>
      </c>
    </row>
    <row r="31" spans="1:6" x14ac:dyDescent="0.2">
      <c r="A31" t="s">
        <v>7680</v>
      </c>
      <c r="B31" t="s">
        <v>26</v>
      </c>
      <c r="C31" t="s">
        <v>7681</v>
      </c>
      <c r="D31" t="s">
        <v>7682</v>
      </c>
      <c r="E31" t="s">
        <v>26</v>
      </c>
      <c r="F31" t="s">
        <v>26</v>
      </c>
    </row>
    <row r="32" spans="1:6" x14ac:dyDescent="0.2">
      <c r="A32" t="s">
        <v>7684</v>
      </c>
      <c r="B32" t="s">
        <v>7683</v>
      </c>
      <c r="C32" t="s">
        <v>7685</v>
      </c>
      <c r="D32" t="s">
        <v>7686</v>
      </c>
      <c r="E32" t="s">
        <v>7687</v>
      </c>
      <c r="F32" t="s">
        <v>26</v>
      </c>
    </row>
    <row r="33" spans="1:6" x14ac:dyDescent="0.2">
      <c r="A33" t="s">
        <v>7689</v>
      </c>
      <c r="B33" t="s">
        <v>7688</v>
      </c>
      <c r="C33" t="s">
        <v>7690</v>
      </c>
      <c r="D33" t="s">
        <v>7691</v>
      </c>
      <c r="E33" t="s">
        <v>26</v>
      </c>
      <c r="F33" t="s">
        <v>26</v>
      </c>
    </row>
    <row r="34" spans="1:6" x14ac:dyDescent="0.2">
      <c r="A34" t="s">
        <v>7693</v>
      </c>
      <c r="B34" t="s">
        <v>7692</v>
      </c>
      <c r="C34" t="s">
        <v>7694</v>
      </c>
      <c r="D34" t="s">
        <v>7695</v>
      </c>
      <c r="E34" t="s">
        <v>7696</v>
      </c>
      <c r="F34" t="s">
        <v>7697</v>
      </c>
    </row>
    <row r="35" spans="1:6" x14ac:dyDescent="0.2">
      <c r="A35" t="s">
        <v>7699</v>
      </c>
      <c r="B35" t="s">
        <v>7698</v>
      </c>
      <c r="C35" t="s">
        <v>7700</v>
      </c>
      <c r="D35" t="s">
        <v>7698</v>
      </c>
      <c r="E35" t="s">
        <v>7701</v>
      </c>
      <c r="F35" t="s">
        <v>26</v>
      </c>
    </row>
    <row r="36" spans="1:6" x14ac:dyDescent="0.2">
      <c r="A36" t="s">
        <v>1076</v>
      </c>
      <c r="B36" t="s">
        <v>1075</v>
      </c>
      <c r="C36" t="s">
        <v>1077</v>
      </c>
      <c r="D36" t="s">
        <v>1078</v>
      </c>
      <c r="E36" t="s">
        <v>26</v>
      </c>
      <c r="F36" t="s">
        <v>7702</v>
      </c>
    </row>
    <row r="37" spans="1:6" x14ac:dyDescent="0.2">
      <c r="A37" t="s">
        <v>7704</v>
      </c>
      <c r="B37" t="s">
        <v>7703</v>
      </c>
      <c r="C37" t="s">
        <v>7705</v>
      </c>
      <c r="D37" t="s">
        <v>7706</v>
      </c>
      <c r="E37" t="s">
        <v>7707</v>
      </c>
      <c r="F37" t="s">
        <v>7708</v>
      </c>
    </row>
    <row r="38" spans="1:6" x14ac:dyDescent="0.2">
      <c r="A38" t="s">
        <v>7710</v>
      </c>
      <c r="B38" t="s">
        <v>7709</v>
      </c>
      <c r="C38" t="s">
        <v>7711</v>
      </c>
      <c r="D38" t="s">
        <v>7712</v>
      </c>
      <c r="E38" t="s">
        <v>7713</v>
      </c>
      <c r="F38" t="s">
        <v>26</v>
      </c>
    </row>
    <row r="39" spans="1:6" x14ac:dyDescent="0.2">
      <c r="A39" t="s">
        <v>7715</v>
      </c>
      <c r="B39" t="s">
        <v>7714</v>
      </c>
      <c r="C39" t="s">
        <v>7716</v>
      </c>
      <c r="D39" t="s">
        <v>7717</v>
      </c>
      <c r="E39" t="s">
        <v>7718</v>
      </c>
      <c r="F39" t="s">
        <v>7719</v>
      </c>
    </row>
    <row r="40" spans="1:6" x14ac:dyDescent="0.2">
      <c r="A40" t="s">
        <v>7721</v>
      </c>
      <c r="B40" t="s">
        <v>7720</v>
      </c>
      <c r="C40" t="s">
        <v>7722</v>
      </c>
      <c r="D40" t="s">
        <v>7720</v>
      </c>
      <c r="E40" t="s">
        <v>7723</v>
      </c>
      <c r="F40" t="s">
        <v>26</v>
      </c>
    </row>
    <row r="41" spans="1:6" x14ac:dyDescent="0.2">
      <c r="A41" t="s">
        <v>7725</v>
      </c>
      <c r="B41" t="s">
        <v>7724</v>
      </c>
      <c r="C41" t="s">
        <v>7726</v>
      </c>
      <c r="D41" t="s">
        <v>7727</v>
      </c>
      <c r="E41" t="s">
        <v>7728</v>
      </c>
      <c r="F41" t="s">
        <v>7729</v>
      </c>
    </row>
    <row r="42" spans="1:6" x14ac:dyDescent="0.2">
      <c r="A42" t="s">
        <v>7731</v>
      </c>
      <c r="B42" t="s">
        <v>7730</v>
      </c>
      <c r="C42" t="s">
        <v>7732</v>
      </c>
      <c r="D42" t="s">
        <v>7733</v>
      </c>
      <c r="E42" t="s">
        <v>7734</v>
      </c>
      <c r="F42" t="s">
        <v>26</v>
      </c>
    </row>
    <row r="43" spans="1:6" x14ac:dyDescent="0.2">
      <c r="A43" t="s">
        <v>7736</v>
      </c>
      <c r="B43" t="s">
        <v>7735</v>
      </c>
      <c r="C43" t="s">
        <v>7737</v>
      </c>
      <c r="D43" t="s">
        <v>7735</v>
      </c>
      <c r="E43" t="s">
        <v>7738</v>
      </c>
      <c r="F43" t="s">
        <v>7739</v>
      </c>
    </row>
    <row r="44" spans="1:6" x14ac:dyDescent="0.2">
      <c r="A44" t="s">
        <v>7741</v>
      </c>
      <c r="B44" t="s">
        <v>7740</v>
      </c>
      <c r="C44" t="s">
        <v>7742</v>
      </c>
      <c r="D44" t="s">
        <v>7740</v>
      </c>
      <c r="E44" t="s">
        <v>7743</v>
      </c>
      <c r="F44" t="s">
        <v>26</v>
      </c>
    </row>
    <row r="45" spans="1:6" x14ac:dyDescent="0.2">
      <c r="A45" t="s">
        <v>7745</v>
      </c>
      <c r="B45" t="s">
        <v>7744</v>
      </c>
      <c r="C45" t="s">
        <v>7746</v>
      </c>
      <c r="D45" t="s">
        <v>7744</v>
      </c>
      <c r="E45" t="s">
        <v>7747</v>
      </c>
      <c r="F45" t="s">
        <v>26</v>
      </c>
    </row>
    <row r="46" spans="1:6" x14ac:dyDescent="0.2">
      <c r="A46" t="s">
        <v>7749</v>
      </c>
      <c r="B46" t="s">
        <v>7748</v>
      </c>
      <c r="C46" t="s">
        <v>7750</v>
      </c>
      <c r="D46" t="s">
        <v>7751</v>
      </c>
      <c r="E46" t="s">
        <v>26</v>
      </c>
      <c r="F46" t="s">
        <v>26</v>
      </c>
    </row>
    <row r="47" spans="1:6" x14ac:dyDescent="0.2">
      <c r="A47" t="s">
        <v>7753</v>
      </c>
      <c r="B47" t="s">
        <v>7752</v>
      </c>
      <c r="C47" t="s">
        <v>7754</v>
      </c>
      <c r="D47" t="s">
        <v>7755</v>
      </c>
      <c r="E47" t="s">
        <v>7756</v>
      </c>
      <c r="F47" t="s">
        <v>26</v>
      </c>
    </row>
    <row r="48" spans="1:6" x14ac:dyDescent="0.2">
      <c r="A48" t="s">
        <v>7758</v>
      </c>
      <c r="B48" t="s">
        <v>7757</v>
      </c>
      <c r="C48" t="s">
        <v>7759</v>
      </c>
      <c r="D48" t="s">
        <v>7757</v>
      </c>
      <c r="E48" t="s">
        <v>7760</v>
      </c>
      <c r="F48" t="s">
        <v>26</v>
      </c>
    </row>
    <row r="49" spans="1:6" x14ac:dyDescent="0.2">
      <c r="A49" t="s">
        <v>7762</v>
      </c>
      <c r="B49" t="s">
        <v>7761</v>
      </c>
      <c r="C49" t="s">
        <v>7763</v>
      </c>
      <c r="D49" t="s">
        <v>7764</v>
      </c>
      <c r="E49" t="s">
        <v>7765</v>
      </c>
      <c r="F49" t="s">
        <v>26</v>
      </c>
    </row>
    <row r="50" spans="1:6" x14ac:dyDescent="0.2">
      <c r="A50" t="s">
        <v>7767</v>
      </c>
      <c r="B50" t="s">
        <v>7766</v>
      </c>
      <c r="C50" t="s">
        <v>7768</v>
      </c>
      <c r="D50" t="s">
        <v>7766</v>
      </c>
      <c r="E50" t="s">
        <v>7769</v>
      </c>
      <c r="F50" t="s">
        <v>7770</v>
      </c>
    </row>
    <row r="51" spans="1:6" x14ac:dyDescent="0.2">
      <c r="A51" t="s">
        <v>7772</v>
      </c>
      <c r="B51" t="s">
        <v>7771</v>
      </c>
      <c r="C51" t="s">
        <v>7773</v>
      </c>
      <c r="D51" t="s">
        <v>7774</v>
      </c>
      <c r="E51" t="s">
        <v>7775</v>
      </c>
      <c r="F51" t="s">
        <v>7776</v>
      </c>
    </row>
    <row r="52" spans="1:6" x14ac:dyDescent="0.2">
      <c r="A52" t="s">
        <v>171</v>
      </c>
      <c r="B52" t="s">
        <v>170</v>
      </c>
      <c r="C52" t="s">
        <v>174</v>
      </c>
      <c r="D52" t="s">
        <v>170</v>
      </c>
      <c r="E52" t="s">
        <v>175</v>
      </c>
      <c r="F52" t="s">
        <v>176</v>
      </c>
    </row>
    <row r="53" spans="1:6" x14ac:dyDescent="0.2">
      <c r="A53" t="s">
        <v>180</v>
      </c>
      <c r="B53" t="s">
        <v>26</v>
      </c>
      <c r="C53" t="s">
        <v>182</v>
      </c>
      <c r="D53" t="s">
        <v>179</v>
      </c>
      <c r="E53" t="s">
        <v>183</v>
      </c>
      <c r="F53" t="s">
        <v>26</v>
      </c>
    </row>
    <row r="54" spans="1:6" x14ac:dyDescent="0.2">
      <c r="A54" t="s">
        <v>186</v>
      </c>
      <c r="B54" t="s">
        <v>185</v>
      </c>
      <c r="C54" t="s">
        <v>189</v>
      </c>
      <c r="D54" t="s">
        <v>190</v>
      </c>
      <c r="E54" t="s">
        <v>26</v>
      </c>
      <c r="F54" t="s">
        <v>26</v>
      </c>
    </row>
    <row r="55" spans="1:6" x14ac:dyDescent="0.2">
      <c r="A55" t="s">
        <v>194</v>
      </c>
      <c r="B55" t="s">
        <v>193</v>
      </c>
      <c r="C55" t="s">
        <v>197</v>
      </c>
      <c r="D55" t="s">
        <v>193</v>
      </c>
      <c r="E55" t="s">
        <v>198</v>
      </c>
      <c r="F55" t="s">
        <v>26</v>
      </c>
    </row>
    <row r="56" spans="1:6" x14ac:dyDescent="0.2">
      <c r="A56" t="s">
        <v>202</v>
      </c>
      <c r="B56" t="s">
        <v>201</v>
      </c>
      <c r="C56" t="s">
        <v>204</v>
      </c>
      <c r="D56" t="s">
        <v>201</v>
      </c>
      <c r="E56" t="s">
        <v>26</v>
      </c>
      <c r="F56" t="s">
        <v>205</v>
      </c>
    </row>
    <row r="57" spans="1:6" x14ac:dyDescent="0.2">
      <c r="A57" t="s">
        <v>210</v>
      </c>
      <c r="B57" t="s">
        <v>209</v>
      </c>
      <c r="C57" t="s">
        <v>213</v>
      </c>
      <c r="D57" t="s">
        <v>214</v>
      </c>
      <c r="E57" t="s">
        <v>215</v>
      </c>
      <c r="F57" t="s">
        <v>216</v>
      </c>
    </row>
    <row r="58" spans="1:6" x14ac:dyDescent="0.2">
      <c r="A58" t="s">
        <v>221</v>
      </c>
      <c r="B58" t="s">
        <v>26</v>
      </c>
      <c r="C58" t="s">
        <v>223</v>
      </c>
      <c r="D58" t="s">
        <v>220</v>
      </c>
      <c r="E58" t="s">
        <v>224</v>
      </c>
      <c r="F58" t="s">
        <v>26</v>
      </c>
    </row>
    <row r="59" spans="1:6" x14ac:dyDescent="0.2">
      <c r="A59" t="s">
        <v>228</v>
      </c>
      <c r="B59" t="s">
        <v>26</v>
      </c>
      <c r="C59" t="s">
        <v>230</v>
      </c>
      <c r="D59" t="s">
        <v>231</v>
      </c>
      <c r="E59" t="s">
        <v>26</v>
      </c>
      <c r="F59" t="s">
        <v>26</v>
      </c>
    </row>
    <row r="60" spans="1:6" x14ac:dyDescent="0.2">
      <c r="A60" t="s">
        <v>235</v>
      </c>
      <c r="B60" t="s">
        <v>234</v>
      </c>
      <c r="C60" t="s">
        <v>238</v>
      </c>
      <c r="D60" t="s">
        <v>239</v>
      </c>
      <c r="E60" t="s">
        <v>240</v>
      </c>
      <c r="F60" t="s">
        <v>26</v>
      </c>
    </row>
    <row r="61" spans="1:6" x14ac:dyDescent="0.2">
      <c r="A61" t="s">
        <v>244</v>
      </c>
      <c r="B61" t="s">
        <v>243</v>
      </c>
      <c r="C61" t="s">
        <v>247</v>
      </c>
      <c r="D61" t="s">
        <v>248</v>
      </c>
      <c r="E61" t="s">
        <v>249</v>
      </c>
      <c r="F61" t="s">
        <v>26</v>
      </c>
    </row>
    <row r="62" spans="1:6" x14ac:dyDescent="0.2">
      <c r="A62" t="s">
        <v>254</v>
      </c>
      <c r="B62" t="s">
        <v>26</v>
      </c>
      <c r="C62" t="s">
        <v>26</v>
      </c>
      <c r="D62" t="s">
        <v>26</v>
      </c>
      <c r="E62" t="s">
        <v>26</v>
      </c>
      <c r="F62" t="s">
        <v>26</v>
      </c>
    </row>
    <row r="63" spans="1:6" x14ac:dyDescent="0.2">
      <c r="A63" t="s">
        <v>258</v>
      </c>
      <c r="B63" t="s">
        <v>26</v>
      </c>
      <c r="C63" t="s">
        <v>26</v>
      </c>
      <c r="D63" t="s">
        <v>26</v>
      </c>
      <c r="E63" t="s">
        <v>26</v>
      </c>
      <c r="F63" t="s">
        <v>26</v>
      </c>
    </row>
    <row r="64" spans="1:6" x14ac:dyDescent="0.2">
      <c r="A64" t="s">
        <v>262</v>
      </c>
      <c r="B64" t="s">
        <v>26</v>
      </c>
      <c r="C64" t="s">
        <v>26</v>
      </c>
      <c r="D64" t="s">
        <v>26</v>
      </c>
      <c r="E64" t="s">
        <v>26</v>
      </c>
      <c r="F64" t="s">
        <v>26</v>
      </c>
    </row>
    <row r="65" spans="1:6" x14ac:dyDescent="0.2">
      <c r="A65" t="s">
        <v>266</v>
      </c>
      <c r="B65" t="s">
        <v>26</v>
      </c>
      <c r="C65" t="s">
        <v>268</v>
      </c>
      <c r="D65" t="s">
        <v>265</v>
      </c>
      <c r="E65" t="s">
        <v>26</v>
      </c>
      <c r="F65" t="s">
        <v>26</v>
      </c>
    </row>
    <row r="66" spans="1:6" x14ac:dyDescent="0.2">
      <c r="A66" t="s">
        <v>272</v>
      </c>
      <c r="B66" t="s">
        <v>26</v>
      </c>
      <c r="C66" t="s">
        <v>274</v>
      </c>
      <c r="D66" t="s">
        <v>26</v>
      </c>
      <c r="E66" t="s">
        <v>26</v>
      </c>
      <c r="F66" t="s">
        <v>26</v>
      </c>
    </row>
    <row r="67" spans="1:6" x14ac:dyDescent="0.2">
      <c r="A67" t="s">
        <v>277</v>
      </c>
      <c r="B67" t="s">
        <v>26</v>
      </c>
      <c r="C67" t="s">
        <v>26</v>
      </c>
      <c r="D67" t="s">
        <v>26</v>
      </c>
      <c r="E67" t="s">
        <v>26</v>
      </c>
      <c r="F67" t="s">
        <v>26</v>
      </c>
    </row>
    <row r="68" spans="1:6" x14ac:dyDescent="0.2">
      <c r="A68" t="s">
        <v>281</v>
      </c>
      <c r="B68" t="s">
        <v>26</v>
      </c>
      <c r="C68" t="s">
        <v>26</v>
      </c>
      <c r="D68" t="s">
        <v>26</v>
      </c>
      <c r="E68" t="s">
        <v>26</v>
      </c>
      <c r="F68" t="s">
        <v>26</v>
      </c>
    </row>
    <row r="69" spans="1:6" x14ac:dyDescent="0.2">
      <c r="A69" t="s">
        <v>285</v>
      </c>
      <c r="B69" t="s">
        <v>26</v>
      </c>
      <c r="C69" t="s">
        <v>287</v>
      </c>
      <c r="D69" t="s">
        <v>288</v>
      </c>
      <c r="E69" t="s">
        <v>26</v>
      </c>
      <c r="F69" t="s">
        <v>26</v>
      </c>
    </row>
    <row r="70" spans="1:6" x14ac:dyDescent="0.2">
      <c r="A70" t="s">
        <v>291</v>
      </c>
      <c r="B70" t="s">
        <v>26</v>
      </c>
      <c r="C70" t="s">
        <v>293</v>
      </c>
      <c r="D70" t="s">
        <v>290</v>
      </c>
      <c r="E70" t="s">
        <v>26</v>
      </c>
      <c r="F70" t="s">
        <v>26</v>
      </c>
    </row>
    <row r="71" spans="1:6" x14ac:dyDescent="0.2">
      <c r="A71" t="s">
        <v>296</v>
      </c>
      <c r="B71" t="s">
        <v>26</v>
      </c>
      <c r="C71" t="s">
        <v>26</v>
      </c>
      <c r="D71" t="s">
        <v>26</v>
      </c>
      <c r="E71" t="s">
        <v>26</v>
      </c>
      <c r="F71" t="s">
        <v>26</v>
      </c>
    </row>
    <row r="72" spans="1:6" x14ac:dyDescent="0.2">
      <c r="A72" t="s">
        <v>300</v>
      </c>
      <c r="B72" t="s">
        <v>26</v>
      </c>
      <c r="C72" t="s">
        <v>302</v>
      </c>
      <c r="D72" t="s">
        <v>303</v>
      </c>
      <c r="E72" t="s">
        <v>304</v>
      </c>
      <c r="F72" t="s">
        <v>305</v>
      </c>
    </row>
    <row r="73" spans="1:6" x14ac:dyDescent="0.2">
      <c r="A73" t="s">
        <v>308</v>
      </c>
      <c r="B73" t="s">
        <v>26</v>
      </c>
      <c r="C73" t="s">
        <v>310</v>
      </c>
      <c r="D73" t="s">
        <v>311</v>
      </c>
      <c r="E73" t="s">
        <v>312</v>
      </c>
      <c r="F73" t="s">
        <v>26</v>
      </c>
    </row>
    <row r="74" spans="1:6" x14ac:dyDescent="0.2">
      <c r="A74" t="s">
        <v>316</v>
      </c>
      <c r="B74" t="s">
        <v>315</v>
      </c>
      <c r="C74" t="s">
        <v>318</v>
      </c>
      <c r="D74" t="s">
        <v>315</v>
      </c>
      <c r="E74" t="s">
        <v>319</v>
      </c>
      <c r="F74" t="s">
        <v>320</v>
      </c>
    </row>
    <row r="75" spans="1:6" x14ac:dyDescent="0.2">
      <c r="A75" t="s">
        <v>323</v>
      </c>
      <c r="B75" t="s">
        <v>322</v>
      </c>
      <c r="C75" t="s">
        <v>326</v>
      </c>
      <c r="D75" t="s">
        <v>327</v>
      </c>
      <c r="E75" t="s">
        <v>328</v>
      </c>
      <c r="F75" t="s">
        <v>26</v>
      </c>
    </row>
    <row r="76" spans="1:6" x14ac:dyDescent="0.2">
      <c r="A76" t="s">
        <v>332</v>
      </c>
      <c r="B76" t="s">
        <v>26</v>
      </c>
      <c r="C76" t="s">
        <v>26</v>
      </c>
      <c r="D76" t="s">
        <v>26</v>
      </c>
      <c r="E76" t="s">
        <v>26</v>
      </c>
      <c r="F76" t="s">
        <v>26</v>
      </c>
    </row>
    <row r="77" spans="1:6" x14ac:dyDescent="0.2">
      <c r="A77" t="s">
        <v>337</v>
      </c>
      <c r="B77" t="s">
        <v>336</v>
      </c>
      <c r="C77" t="s">
        <v>340</v>
      </c>
      <c r="D77" t="s">
        <v>336</v>
      </c>
      <c r="E77" t="s">
        <v>26</v>
      </c>
      <c r="F77" t="s">
        <v>341</v>
      </c>
    </row>
    <row r="78" spans="1:6" x14ac:dyDescent="0.2">
      <c r="A78" t="s">
        <v>347</v>
      </c>
      <c r="B78" t="s">
        <v>346</v>
      </c>
      <c r="C78" t="s">
        <v>350</v>
      </c>
      <c r="D78" t="s">
        <v>346</v>
      </c>
      <c r="E78" t="s">
        <v>351</v>
      </c>
      <c r="F78" t="s">
        <v>26</v>
      </c>
    </row>
    <row r="79" spans="1:6" x14ac:dyDescent="0.2">
      <c r="A79" t="s">
        <v>356</v>
      </c>
      <c r="B79" t="s">
        <v>355</v>
      </c>
      <c r="C79" t="s">
        <v>359</v>
      </c>
      <c r="D79" t="s">
        <v>355</v>
      </c>
      <c r="E79" t="s">
        <v>360</v>
      </c>
      <c r="F79" t="s">
        <v>361</v>
      </c>
    </row>
    <row r="80" spans="1:6" x14ac:dyDescent="0.2">
      <c r="A80" t="s">
        <v>366</v>
      </c>
      <c r="B80" t="s">
        <v>365</v>
      </c>
      <c r="C80" t="s">
        <v>369</v>
      </c>
      <c r="D80" t="s">
        <v>365</v>
      </c>
      <c r="E80" t="s">
        <v>370</v>
      </c>
      <c r="F80" t="s">
        <v>26</v>
      </c>
    </row>
    <row r="81" spans="1:6" x14ac:dyDescent="0.2">
      <c r="A81" t="s">
        <v>374</v>
      </c>
      <c r="B81" t="s">
        <v>373</v>
      </c>
      <c r="C81" t="s">
        <v>376</v>
      </c>
      <c r="D81" t="s">
        <v>373</v>
      </c>
      <c r="E81" t="s">
        <v>377</v>
      </c>
      <c r="F81" t="s">
        <v>378</v>
      </c>
    </row>
    <row r="82" spans="1:6" x14ac:dyDescent="0.2">
      <c r="A82" t="s">
        <v>381</v>
      </c>
      <c r="B82" t="s">
        <v>26</v>
      </c>
      <c r="C82" t="s">
        <v>26</v>
      </c>
      <c r="D82" t="s">
        <v>26</v>
      </c>
      <c r="E82" t="s">
        <v>26</v>
      </c>
      <c r="F82" t="s">
        <v>26</v>
      </c>
    </row>
    <row r="83" spans="1:6" x14ac:dyDescent="0.2">
      <c r="A83" t="s">
        <v>387</v>
      </c>
      <c r="B83" t="s">
        <v>386</v>
      </c>
      <c r="C83" t="s">
        <v>389</v>
      </c>
      <c r="D83" t="s">
        <v>390</v>
      </c>
      <c r="E83" t="s">
        <v>391</v>
      </c>
      <c r="F83" t="s">
        <v>392</v>
      </c>
    </row>
    <row r="84" spans="1:6" x14ac:dyDescent="0.2">
      <c r="A84" t="s">
        <v>398</v>
      </c>
      <c r="B84" t="s">
        <v>397</v>
      </c>
      <c r="C84" t="s">
        <v>401</v>
      </c>
      <c r="D84" t="s">
        <v>397</v>
      </c>
      <c r="E84" t="s">
        <v>402</v>
      </c>
      <c r="F84" t="s">
        <v>26</v>
      </c>
    </row>
    <row r="85" spans="1:6" x14ac:dyDescent="0.2">
      <c r="A85" t="s">
        <v>407</v>
      </c>
      <c r="B85" t="s">
        <v>406</v>
      </c>
      <c r="C85" t="s">
        <v>409</v>
      </c>
      <c r="D85" t="s">
        <v>406</v>
      </c>
      <c r="E85" t="s">
        <v>410</v>
      </c>
      <c r="F85" t="s">
        <v>26</v>
      </c>
    </row>
    <row r="86" spans="1:6" x14ac:dyDescent="0.2">
      <c r="A86" t="s">
        <v>415</v>
      </c>
      <c r="B86" t="s">
        <v>414</v>
      </c>
      <c r="C86" t="s">
        <v>418</v>
      </c>
      <c r="D86" t="s">
        <v>419</v>
      </c>
      <c r="E86" t="s">
        <v>420</v>
      </c>
      <c r="F86" t="s">
        <v>421</v>
      </c>
    </row>
    <row r="87" spans="1:6" x14ac:dyDescent="0.2">
      <c r="A87" t="s">
        <v>426</v>
      </c>
      <c r="B87" t="s">
        <v>26</v>
      </c>
      <c r="C87" t="s">
        <v>428</v>
      </c>
      <c r="D87" t="s">
        <v>429</v>
      </c>
      <c r="E87" t="s">
        <v>430</v>
      </c>
      <c r="F87" t="s">
        <v>26</v>
      </c>
    </row>
    <row r="88" spans="1:6" x14ac:dyDescent="0.2">
      <c r="A88" t="s">
        <v>434</v>
      </c>
      <c r="B88" t="s">
        <v>433</v>
      </c>
      <c r="C88" t="s">
        <v>437</v>
      </c>
      <c r="D88" t="s">
        <v>433</v>
      </c>
      <c r="E88" t="s">
        <v>438</v>
      </c>
      <c r="F88" t="s">
        <v>26</v>
      </c>
    </row>
    <row r="89" spans="1:6" x14ac:dyDescent="0.2">
      <c r="A89" t="s">
        <v>443</v>
      </c>
      <c r="B89" t="s">
        <v>26</v>
      </c>
      <c r="C89" t="s">
        <v>445</v>
      </c>
      <c r="D89" t="s">
        <v>446</v>
      </c>
      <c r="E89" t="s">
        <v>447</v>
      </c>
      <c r="F89" t="s">
        <v>26</v>
      </c>
    </row>
    <row r="90" spans="1:6" x14ac:dyDescent="0.2">
      <c r="A90" t="s">
        <v>451</v>
      </c>
      <c r="B90" t="s">
        <v>450</v>
      </c>
      <c r="C90" t="s">
        <v>454</v>
      </c>
      <c r="D90" t="s">
        <v>455</v>
      </c>
      <c r="E90" t="s">
        <v>456</v>
      </c>
      <c r="F90" t="s">
        <v>26</v>
      </c>
    </row>
    <row r="91" spans="1:6" x14ac:dyDescent="0.2">
      <c r="A91" t="s">
        <v>460</v>
      </c>
      <c r="B91" t="s">
        <v>26</v>
      </c>
      <c r="C91" t="s">
        <v>462</v>
      </c>
      <c r="D91" t="s">
        <v>459</v>
      </c>
      <c r="E91" t="s">
        <v>463</v>
      </c>
      <c r="F91" t="s">
        <v>26</v>
      </c>
    </row>
    <row r="92" spans="1:6" x14ac:dyDescent="0.2">
      <c r="A92" t="s">
        <v>467</v>
      </c>
      <c r="B92" t="s">
        <v>466</v>
      </c>
      <c r="C92" t="s">
        <v>470</v>
      </c>
      <c r="D92" t="s">
        <v>466</v>
      </c>
      <c r="E92" t="s">
        <v>471</v>
      </c>
      <c r="F92" t="s">
        <v>472</v>
      </c>
    </row>
    <row r="93" spans="1:6" x14ac:dyDescent="0.2">
      <c r="A93" t="s">
        <v>477</v>
      </c>
      <c r="B93" t="s">
        <v>26</v>
      </c>
      <c r="C93" t="s">
        <v>479</v>
      </c>
      <c r="D93" t="s">
        <v>480</v>
      </c>
      <c r="E93" t="s">
        <v>26</v>
      </c>
      <c r="F93" t="s">
        <v>26</v>
      </c>
    </row>
    <row r="94" spans="1:6" x14ac:dyDescent="0.2">
      <c r="A94" t="s">
        <v>484</v>
      </c>
      <c r="B94" t="s">
        <v>483</v>
      </c>
      <c r="C94" t="s">
        <v>487</v>
      </c>
      <c r="D94" t="s">
        <v>488</v>
      </c>
      <c r="E94" t="s">
        <v>489</v>
      </c>
      <c r="F94" t="s">
        <v>26</v>
      </c>
    </row>
    <row r="95" spans="1:6" x14ac:dyDescent="0.2">
      <c r="A95" t="s">
        <v>495</v>
      </c>
      <c r="B95" t="s">
        <v>494</v>
      </c>
      <c r="C95" t="s">
        <v>498</v>
      </c>
      <c r="D95" t="s">
        <v>499</v>
      </c>
      <c r="E95" t="s">
        <v>500</v>
      </c>
      <c r="F95" t="s">
        <v>26</v>
      </c>
    </row>
    <row r="96" spans="1:6" x14ac:dyDescent="0.2">
      <c r="A96" t="s">
        <v>504</v>
      </c>
      <c r="B96" t="s">
        <v>503</v>
      </c>
      <c r="C96" t="s">
        <v>507</v>
      </c>
      <c r="D96" t="s">
        <v>503</v>
      </c>
      <c r="E96" t="s">
        <v>508</v>
      </c>
      <c r="F96" t="s">
        <v>26</v>
      </c>
    </row>
    <row r="97" spans="1:6" x14ac:dyDescent="0.2">
      <c r="A97" t="s">
        <v>512</v>
      </c>
      <c r="B97" t="s">
        <v>511</v>
      </c>
      <c r="C97" t="s">
        <v>515</v>
      </c>
      <c r="D97" t="s">
        <v>511</v>
      </c>
      <c r="E97" t="s">
        <v>516</v>
      </c>
      <c r="F97" t="s">
        <v>26</v>
      </c>
    </row>
    <row r="98" spans="1:6" x14ac:dyDescent="0.2">
      <c r="A98" t="s">
        <v>519</v>
      </c>
      <c r="B98" t="s">
        <v>518</v>
      </c>
      <c r="C98" t="s">
        <v>522</v>
      </c>
      <c r="D98" t="s">
        <v>518</v>
      </c>
      <c r="E98" t="s">
        <v>26</v>
      </c>
      <c r="F98" t="s">
        <v>26</v>
      </c>
    </row>
    <row r="99" spans="1:6" x14ac:dyDescent="0.2">
      <c r="A99" t="s">
        <v>527</v>
      </c>
      <c r="B99" t="s">
        <v>526</v>
      </c>
      <c r="C99" t="s">
        <v>530</v>
      </c>
      <c r="D99" t="s">
        <v>526</v>
      </c>
      <c r="E99" t="s">
        <v>531</v>
      </c>
      <c r="F99" t="s">
        <v>26</v>
      </c>
    </row>
    <row r="100" spans="1:6" x14ac:dyDescent="0.2">
      <c r="A100" t="s">
        <v>536</v>
      </c>
      <c r="B100" t="s">
        <v>535</v>
      </c>
      <c r="C100" t="s">
        <v>538</v>
      </c>
      <c r="D100" t="s">
        <v>539</v>
      </c>
      <c r="E100" t="s">
        <v>26</v>
      </c>
      <c r="F100" t="s">
        <v>26</v>
      </c>
    </row>
    <row r="101" spans="1:6" x14ac:dyDescent="0.2">
      <c r="A101" t="s">
        <v>543</v>
      </c>
      <c r="B101" t="s">
        <v>542</v>
      </c>
      <c r="C101" t="s">
        <v>545</v>
      </c>
      <c r="D101" t="s">
        <v>542</v>
      </c>
      <c r="E101" t="s">
        <v>546</v>
      </c>
      <c r="F101" t="s">
        <v>547</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database</vt:lpstr>
      <vt:lpstr>candidate_take_home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Richardson</dc:creator>
  <cp:lastModifiedBy>Thomas Richardson</cp:lastModifiedBy>
  <dcterms:created xsi:type="dcterms:W3CDTF">2026-05-30T02:38:23Z</dcterms:created>
  <dcterms:modified xsi:type="dcterms:W3CDTF">2026-05-30T02:38:43Z</dcterms:modified>
</cp:coreProperties>
</file>